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Indicateurs" sheetId="2" state="visible" r:id="rId4"/>
    <sheet name="Missions" sheetId="3" state="visible" r:id="rId5"/>
    <sheet name="Missions expliquées" sheetId="4" state="visible" r:id="rId6"/>
  </sheets>
  <definedNames>
    <definedName function="false" hidden="true" localSheetId="2" name="_xlnm._FilterDatabase" vbProcedure="false">Missions!$A$4:$H$25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<sst xmlns="http://schemas.openxmlformats.org/spreadsheetml/2006/main" count="406" uniqueCount="254">
  <si>
    <t xml:space="preserve">Multimédia Glory Guinée SARLU</t>
  </si>
  <si>
    <t xml:space="preserve">Tableau de bord — Service de production CNIB</t>
  </si>
  <si>
    <t xml:space="preserve">Chiffres d’exemple : remplacez les cellules jaunes des feuilles Indicateurs et Missions par vos totaux (jamais de données personnelles). Tout le reste se calcule.</t>
  </si>
  <si>
    <t xml:space="preserve">SYNTHÈSE</t>
  </si>
  <si>
    <t xml:space="preserve">Atteint</t>
  </si>
  <si>
    <t xml:space="preserve">À surveiller</t>
  </si>
  <si>
    <t xml:space="preserve">Hors cible</t>
  </si>
  <si>
    <t xml:space="preserve">À renseigner</t>
  </si>
  <si>
    <t xml:space="preserve">Total</t>
  </si>
  <si>
    <t xml:space="preserve">Part atteinte</t>
  </si>
  <si>
    <t xml:space="preserve">Indicateurs</t>
  </si>
  <si>
    <t xml:space="preserve">Fait</t>
  </si>
  <si>
    <t xml:space="preserve">En cours</t>
  </si>
  <si>
    <t xml:space="preserve">Bloquée</t>
  </si>
  <si>
    <t xml:space="preserve">À faire</t>
  </si>
  <si>
    <t xml:space="preserve">Part faite</t>
  </si>
  <si>
    <t xml:space="preserve">Missions de la période</t>
  </si>
  <si>
    <t xml:space="preserve">PAR DOMAINE</t>
  </si>
  <si>
    <t xml:space="preserve">Domaine</t>
  </si>
  <si>
    <t xml:space="preserve">Missions</t>
  </si>
  <si>
    <t xml:space="preserve">Indicateurs hors cible</t>
  </si>
  <si>
    <t xml:space="preserve">Indicateurs à surveiller</t>
  </si>
  <si>
    <t xml:space="preserve">Réception et planification</t>
  </si>
  <si>
    <t xml:space="preserve">Personnalisation des cartes</t>
  </si>
  <si>
    <t xml:space="preserve">Contrôle qualité</t>
  </si>
  <si>
    <t xml:space="preserve">Expédition et remise</t>
  </si>
  <si>
    <t xml:space="preserve">Équipements, stocks et sécurité</t>
  </si>
  <si>
    <t xml:space="preserve">Pilotage et reporting</t>
  </si>
  <si>
    <t xml:space="preserve">Hypothèses : missions, rythmes, indicateurs, cibles et marges sont des propositions à valider avec les termes de référence du service. Les statuts et chiffres affichés au départ sont des exemples. Ne saisissez dans ce classeur que des totaux, jamais de données personnelles.</t>
  </si>
  <si>
    <t xml:space="preserve">Multimédia Glory Guinée SARLU — Indicateurs de pilotage</t>
  </si>
  <si>
    <t xml:space="preserve">Saisissez la cible et le réalisé (cellules jaunes) : l’écart et l’état se calculent seuls. Chiffres actuels : exemples.</t>
  </si>
  <si>
    <t xml:space="preserve">Seuil « À surveiller » (cibles à atteindre ≥)</t>
  </si>
  <si>
    <t xml:space="preserve">Part minimale de la cible pour rester « À surveiller » (hypothèse proposée, modifiable)</t>
  </si>
  <si>
    <t xml:space="preserve">Indicateur</t>
  </si>
  <si>
    <t xml:space="preserve">Sens</t>
  </si>
  <si>
    <t xml:space="preserve">Marge « à surveiller » (plafonds seulement)</t>
  </si>
  <si>
    <t xml:space="preserve">Cible</t>
  </si>
  <si>
    <t xml:space="preserve">Réalisé</t>
  </si>
  <si>
    <t xml:space="preserve">Écart</t>
  </si>
  <si>
    <t xml:space="preserve">État</t>
  </si>
  <si>
    <t xml:space="preserve">Dossiers conformes dès réception</t>
  </si>
  <si>
    <t xml:space="preserve">≥</t>
  </si>
  <si>
    <t xml:space="preserve">Cartes produites sur cartes planifiées</t>
  </si>
  <si>
    <t xml:space="preserve">Cartes personnalisées dans le mois</t>
  </si>
  <si>
    <t xml:space="preserve">Arrêts de production non planifiés</t>
  </si>
  <si>
    <t xml:space="preserve">≤</t>
  </si>
  <si>
    <t xml:space="preserve">Cartes conformes au premier contrôle</t>
  </si>
  <si>
    <t xml:space="preserve">Taux de rebut</t>
  </si>
  <si>
    <t xml:space="preserve">Colis expédiés dans les délais</t>
  </si>
  <si>
    <t xml:space="preserve">Cartes remises sur cartes expédiées</t>
  </si>
  <si>
    <t xml:space="preserve">Jours de stock de cartes vierges</t>
  </si>
  <si>
    <t xml:space="preserve">Écarts d’inventaire des cartes</t>
  </si>
  <si>
    <t xml:space="preserve">Équipements disponibles</t>
  </si>
  <si>
    <t xml:space="preserve">Incidents de sécurité des données</t>
  </si>
  <si>
    <t xml:space="preserve">Postes de production couverts</t>
  </si>
  <si>
    <t xml:space="preserve">Réclamations traitées dans les délais</t>
  </si>
  <si>
    <t xml:space="preserve">Lecture :</t>
  </si>
  <si>
    <t xml:space="preserve">• Sens ≥ : la cible est un minimum. Atteint si le réalisé la respecte ; À surveiller si le réalisé atteint au moins le seuil ci-dessus (C3) de la cible ; sinon Hors cible.</t>
  </si>
  <si>
    <t xml:space="preserve">• Sens ≤ : la cible est un plafond (retards, anomalies…). Atteint si le réalisé reste sous le plafond ; À surveiller jusqu’à la marge de la colonne D au-dessus ; sinon Hors cible.</t>
  </si>
  <si>
    <t xml:space="preserve">• Les pourcentages sont saisis en % (92 % ou 0,92). L’écart des pourcentages se lit en points.</t>
  </si>
  <si>
    <t xml:space="preserve">• Cibles, marges et chiffres réalisés sont des exemples proposés : remplacez-les par vos objectifs réels.</t>
  </si>
  <si>
    <t xml:space="preserve">Multimédia Glory Guinée SARLU — Missions du service de production CNIB</t>
  </si>
  <si>
    <t xml:space="preserve">Choisissez le statut de la période dans la colonne H (liste déroulante). Statuts actuels : exemples.</t>
  </si>
  <si>
    <t xml:space="preserve">Missions, rythmes et indicateurs associés : propositions d’après le déroulé habituel de production, à valider avec les termes de référence du service et à adapter.</t>
  </si>
  <si>
    <t xml:space="preserve">ID</t>
  </si>
  <si>
    <t xml:space="preserve">Mission</t>
  </si>
  <si>
    <t xml:space="preserve">Détail</t>
  </si>
  <si>
    <t xml:space="preserve">Rythme *</t>
  </si>
  <si>
    <t xml:space="preserve">Catégorie de rythme</t>
  </si>
  <si>
    <t xml:space="preserve">Indicateur associé *</t>
  </si>
  <si>
    <t xml:space="preserve">Statut de la période</t>
  </si>
  <si>
    <t xml:space="preserve">a1</t>
  </si>
  <si>
    <t xml:space="preserve">Recevoir les lots de dossiers validés</t>
  </si>
  <si>
    <t xml:space="preserve">Quotidien</t>
  </si>
  <si>
    <t xml:space="preserve">Lots reçus et enregistrés dans la journée (%)</t>
  </si>
  <si>
    <t xml:space="preserve">a2</t>
  </si>
  <si>
    <t xml:space="preserve">Vérifier que chaque dossier est complet et exploitable</t>
  </si>
  <si>
    <t xml:space="preserve">État civil, photo, empreintes, signature</t>
  </si>
  <si>
    <t xml:space="preserve">Dossiers conformes dès réception (%)</t>
  </si>
  <si>
    <t xml:space="preserve">a3</t>
  </si>
  <si>
    <t xml:space="preserve">Renvoyer les dossiers en anomalie au centre d’enrôlement</t>
  </si>
  <si>
    <t xml:space="preserve">À chaque anomalie</t>
  </si>
  <si>
    <t xml:space="preserve">À chaque événement</t>
  </si>
  <si>
    <t xml:space="preserve">Anomalies renvoyées dans les délais (%)</t>
  </si>
  <si>
    <t xml:space="preserve">a4</t>
  </si>
  <si>
    <t xml:space="preserve">Planifier la production</t>
  </si>
  <si>
    <t xml:space="preserve">Priorités, files d’attente, capacité des machines</t>
  </si>
  <si>
    <t xml:space="preserve">Hebdomadaire</t>
  </si>
  <si>
    <t xml:space="preserve">Cartes produites sur cartes planifiées (%)</t>
  </si>
  <si>
    <t xml:space="preserve">b1</t>
  </si>
  <si>
    <t xml:space="preserve">Lancer et suivre la personnalisation des lots</t>
  </si>
  <si>
    <t xml:space="preserve">Cartes personnalisées dans le mois (nombre)</t>
  </si>
  <si>
    <t xml:space="preserve">b2</t>
  </si>
  <si>
    <t xml:space="preserve">Régler les machines et les modèles de carte</t>
  </si>
  <si>
    <t xml:space="preserve">À chaque lot</t>
  </si>
  <si>
    <t xml:space="preserve">Lots lancés avec une carte d’essai conforme (%)</t>
  </si>
  <si>
    <t xml:space="preserve">b3</t>
  </si>
  <si>
    <t xml:space="preserve">Tenir le journal de production</t>
  </si>
  <si>
    <t xml:space="preserve">Lots avec journal complet (%)</t>
  </si>
  <si>
    <t xml:space="preserve">q1</t>
  </si>
  <si>
    <t xml:space="preserve">Contrôler chaque carte avant validation</t>
  </si>
  <si>
    <t xml:space="preserve">Aspect, données imprimées, lecture de la puce</t>
  </si>
  <si>
    <t xml:space="preserve">Cartes conformes au premier contrôle (%)</t>
  </si>
  <si>
    <t xml:space="preserve">q2</t>
  </si>
  <si>
    <t xml:space="preserve">Isoler, enregistrer et traiter les cartes rebutées</t>
  </si>
  <si>
    <t xml:space="preserve">Taux de rebut (%)</t>
  </si>
  <si>
    <t xml:space="preserve">q3</t>
  </si>
  <si>
    <t xml:space="preserve">Analyser les causes des défauts et corriger</t>
  </si>
  <si>
    <t xml:space="preserve">Défauts récurrents sans action corrective (nombre)</t>
  </si>
  <si>
    <t xml:space="preserve">e1</t>
  </si>
  <si>
    <t xml:space="preserve">Conditionner les cartes par lot et par centre de remise</t>
  </si>
  <si>
    <t xml:space="preserve">Colis conformes à la liste d’expédition (%)</t>
  </si>
  <si>
    <t xml:space="preserve">e2</t>
  </si>
  <si>
    <t xml:space="preserve">Expédier et suivre l’acheminement jusqu’aux centres</t>
  </si>
  <si>
    <t xml:space="preserve">À chaque expédition</t>
  </si>
  <si>
    <t xml:space="preserve">Colis expédiés dans les délais (%)</t>
  </si>
  <si>
    <t xml:space="preserve">e3</t>
  </si>
  <si>
    <t xml:space="preserve">Suivre les cartes remises, non retirées ou retournées</t>
  </si>
  <si>
    <t xml:space="preserve">Mensuel</t>
  </si>
  <si>
    <t xml:space="preserve">Cartes remises sur cartes expédiées (%)</t>
  </si>
  <si>
    <t xml:space="preserve">s1</t>
  </si>
  <si>
    <t xml:space="preserve">Gérer le stock de cartes vierges et de consommables</t>
  </si>
  <si>
    <t xml:space="preserve">Jours de stock restants (nombre)</t>
  </si>
  <si>
    <t xml:space="preserve">s2</t>
  </si>
  <si>
    <t xml:space="preserve">Assurer la maintenance préventive des équipements</t>
  </si>
  <si>
    <t xml:space="preserve">Équipements disponibles (%)</t>
  </si>
  <si>
    <t xml:space="preserve">s3</t>
  </si>
  <si>
    <t xml:space="preserve">Sécuriser les accès, la traçabilité et la destruction des rebuts</t>
  </si>
  <si>
    <t xml:space="preserve">Continu</t>
  </si>
  <si>
    <t xml:space="preserve">Écarts d’inventaire des cartes (nombre)</t>
  </si>
  <si>
    <t xml:space="preserve">s4</t>
  </si>
  <si>
    <t xml:space="preserve">Protéger les données personnelles des citoyens</t>
  </si>
  <si>
    <t xml:space="preserve">Incidents de sécurité des données (nombre)</t>
  </si>
  <si>
    <t xml:space="preserve">p1</t>
  </si>
  <si>
    <t xml:space="preserve">Piloter l’équipe de production</t>
  </si>
  <si>
    <t xml:space="preserve">Postes de production couverts (%)</t>
  </si>
  <si>
    <t xml:space="preserve">p2</t>
  </si>
  <si>
    <t xml:space="preserve">Établir les tableaux de bord mensuels de production</t>
  </si>
  <si>
    <t xml:space="preserve">Tableau remis dans les délais (oui / non)</t>
  </si>
  <si>
    <t xml:space="preserve">p3</t>
  </si>
  <si>
    <t xml:space="preserve">Traiter les réclamations et les cas particuliers</t>
  </si>
  <si>
    <t xml:space="preserve">À chaque réclamation</t>
  </si>
  <si>
    <t xml:space="preserve">Réclamations traitées dans les délais (%)</t>
  </si>
  <si>
    <t xml:space="preserve">p4</t>
  </si>
  <si>
    <t xml:space="preserve">Accomplir les autres tâches confiées par la Direction</t>
  </si>
  <si>
    <t xml:space="preserve">Sur demande</t>
  </si>
  <si>
    <t xml:space="preserve">Demandes traitées dans les délais (%)</t>
  </si>
  <si>
    <t xml:space="preserve">Une mission récurrente n’est jamais « terminée » : « Fait » veut dire fait pour la période en cours. À chaque nouvelle période, remettez la colonne H sur « À faire ».</t>
  </si>
  <si>
    <t xml:space="preserve">Multimédia Glory Guinée SARLU — Missions expliquées — Service de production CNIB</t>
  </si>
  <si>
    <t xml:space="preserve">Missions proposées d’après le déroulé habituel de production d’une carte d’identité biométrique, à comparer avec les termes de référence du service. La colonne C indique où la mission est suivie.</t>
  </si>
  <si>
    <t xml:space="preserve">Le service de production transforme un dossier validé en une carte prête à être remise : on reçoit, on fabrique, on contrôle, on expédie, et on garde la trace de chaque étape.</t>
  </si>
  <si>
    <t xml:space="preserve">Mission suivie (ID)</t>
  </si>
  <si>
    <t xml:space="preserve">Domaine suivi</t>
  </si>
  <si>
    <t xml:space="preserve">En simple</t>
  </si>
  <si>
    <t xml:space="preserve">Concrètement</t>
  </si>
  <si>
    <t xml:space="preserve">C’est bien fait quand</t>
  </si>
  <si>
    <t xml:space="preserve">À savoir</t>
  </si>
  <si>
    <t xml:space="preserve">Récupérer, chaque jour, les dossiers prêts à être produits et les enregistrer dans le suivi.</t>
  </si>
  <si>
    <t xml:space="preserve">• Vérifier que chaque lot reçu est bien celui annoncé : numéro, nombre de dossiers.
• Enregistrer la date et l’heure de réception.
• Ne lancer aucune production sur un lot non enregistré.</t>
  </si>
  <si>
    <t xml:space="preserve">Chaque lot reçu est enregistré le jour même, et on sait toujours où il en est.</t>
  </si>
  <si>
    <t xml:space="preserve">Lexique : Lot : groupe de dossiers ou de cartes traités ensemble, avec un numéro qui permet de suivre chaque étape.</t>
  </si>
  <si>
    <t xml:space="preserve">S’assurer qu’un dossier contient tout ce qu’il faut pour fabriquer la carte, avant de lancer la production.</t>
  </si>
  <si>
    <t xml:space="preserve">• Contrôler l’état civil, la photo, les empreintes et la signature.
• Écarter les dossiers illisibles ou incomplets.
• Une erreur trouvée ici coûte beaucoup moins cher qu’une carte à refaire.</t>
  </si>
  <si>
    <t xml:space="preserve">Presque aucun dossier n’est refusé plus tard, à l’impression ou au contrôle final.</t>
  </si>
  <si>
    <t xml:space="preserve">À confirmer : Le dédoublonnage biométrique (vérifier qu’une même personne n’a pas deux cartes) se fait-il avant l’arrivée des dossiers, ou dans ce service ?</t>
  </si>
  <si>
    <t xml:space="preserve">Faire corriger à la source les dossiers qui ne peuvent pas être produits.</t>
  </si>
  <si>
    <t xml:space="preserve">• Noter la raison précise de chaque anomalie.
• Renvoyer le dossier au centre concerné avec cette raison.
• Suivre le retour jusqu’à la correction.</t>
  </si>
  <si>
    <t xml:space="preserve">Aucun dossier en anomalie ne reste bloqué sans que le centre soit prévenu.</t>
  </si>
  <si>
    <t xml:space="preserve">Lexique : Centre d’enrôlement : lieu où l’on recueille les données du citoyen (état civil, photo, empreintes).</t>
  </si>
  <si>
    <t xml:space="preserve">Décider quoi produire, dans quel ordre et avec quelles machines, pour tenir les délais.</t>
  </si>
  <si>
    <t xml:space="preserve">• Classer les lots par priorité et par date limite.
• Tenir compte des machines disponibles et du stock de cartes vierges.
• Revoir le plan chaque semaine et le corriger si besoin.</t>
  </si>
  <si>
    <t xml:space="preserve">Le plan est tenu et la production n’attend ni les machines ni les cartes vierges.</t>
  </si>
  <si>
    <t xml:space="preserve">Faire inscrire les données du titulaire sur chaque carte vierge, lot après lot.</t>
  </si>
  <si>
    <t xml:space="preserve">• Lancer la production du lot sur la machine prévue.
• Suivre l’avancement et la cadence en cours de journée.
• Clôturer le lot quand toutes ses cartes sont sorties ou rebutées.</t>
  </si>
  <si>
    <t xml:space="preserve">Chaque lot est terminé à la date prévue, sans carte oubliée.</t>
  </si>
  <si>
    <t xml:space="preserve">Lexique : Personnalisation : étape où l’on inscrit les données du titulaire sur la carte vierge. Selon le modèle : impression, gravure, encodage de la puce.
À confirmer : Le modèle exact de la carte détermine les étapes et les contrôles. À préciser avec la Direction.</t>
  </si>
  <si>
    <t xml:space="preserve">Préparer les machines pour que chaque carte sorte avec le bon modèle et la bonne qualité.</t>
  </si>
  <si>
    <t xml:space="preserve">• Charger le bon modèle de carte et les bons consommables.
• Faire une carte d’essai avant de lancer un lot, et après tout réglage ou changement.
• Noter les réglages utilisés.</t>
  </si>
  <si>
    <t xml:space="preserve">Les cartes d’essai sont bonnes du premier coup et les lots démarrent sans arrêt.</t>
  </si>
  <si>
    <t xml:space="preserve">Garder une trace écrite de tout ce qui se passe en production.</t>
  </si>
  <si>
    <t xml:space="preserve">• Noter pour chaque lot : quantités produites et rebutées, machine, opérateur, incidents.
• Remplir le journal pendant la journée, pas de mémoire le lendemain.
• Pouvoir retrouver l’historique d’une carte en cas de question.</t>
  </si>
  <si>
    <t xml:space="preserve">Chaque lot a un journal complet et on retrouve l’historique de n’importe quelle carte.</t>
  </si>
  <si>
    <t xml:space="preserve">Lexique : Traçabilité : possibilité de retrouver, pour chaque carte, ce qui a été fait, quand et par qui.</t>
  </si>
  <si>
    <t xml:space="preserve">Vérifier que la carte est parfaite avant qu’elle quitte la production.</t>
  </si>
  <si>
    <t xml:space="preserve">• Regarder l’aspect : photo nette, textes bien placés, pas de rayure.
• Comparer les données imprimées avec le dossier.
• Vérifier la lecture de la puce et des données électroniques, selon le modèle.</t>
  </si>
  <si>
    <t xml:space="preserve">Aucune carte défectueuse n’arrive chez le citoyen.</t>
  </si>
  <si>
    <t xml:space="preserve">S’occuper des cartes ratées : les mettre de côté, les compter, puis refaire la carte.</t>
  </si>
  <si>
    <t xml:space="preserve">• Séparer les rebuts des cartes bonnes dès la détection.
• Enregistrer chaque rebut avec sa cause.
• Relancer la production d’une nouvelle carte pour le même dossier.
• Détruire les rebuts selon la procédure sécurisée.</t>
  </si>
  <si>
    <t xml:space="preserve">Chaque carte rebutée est comptée, remplacée et détruite proprement.</t>
  </si>
  <si>
    <t xml:space="preserve">Lexique : Rebut : carte ratée ou défectueuse. Elle contient des données personnelles : on l’enregistre puis on la détruit de façon sécurisée.</t>
  </si>
  <si>
    <t xml:space="preserve">Comprendre pourquoi les défauts reviennent et les supprimer à la source.</t>
  </si>
  <si>
    <t xml:space="preserve">• Regrouper les rebuts par cause : machine, consommable, dossier, réglage.
• Choisir une action corrective pour chaque cause qui revient.
• Vérifier la semaine suivante que le défaut a baissé.</t>
  </si>
  <si>
    <t xml:space="preserve">Les mêmes défauts ne reviennent pas semaine après semaine.</t>
  </si>
  <si>
    <t xml:space="preserve">Préparer les cartes pour le transport : regroupées, comptées et protégées.</t>
  </si>
  <si>
    <t xml:space="preserve">• Regrouper les cartes par centre de remise.
• Compter et contrôler le contenu de chaque colis avec la liste d’expédition.
• Fermer et identifier le colis de façon sécurisée.</t>
  </si>
  <si>
    <t xml:space="preserve">Aucun colis ne part avec une carte en trop ou en moins.</t>
  </si>
  <si>
    <t xml:space="preserve">Envoyer les colis et vérifier qu’ils arrivent.</t>
  </si>
  <si>
    <t xml:space="preserve">• Remettre les colis au transporteur contre signature.
• Suivre chaque colis jusqu’à la confirmation de réception par le centre.
• Relancer tout colis en retard.</t>
  </si>
  <si>
    <t xml:space="preserve">Les colis arrivent à la date prévue et chaque réception est confirmée.</t>
  </si>
  <si>
    <t xml:space="preserve">Savoir ce que sont devenues les cartes après l’expédition.</t>
  </si>
  <si>
    <t xml:space="preserve">• Faire le point chaque mois avec les centres de remise.
• Repérer les cartes non retirées depuis longtemps.
• Traiter les cartes retournées : erreur, personne introuvable.</t>
  </si>
  <si>
    <t xml:space="preserve">On connaît le sort de chaque carte expédiée.</t>
  </si>
  <si>
    <t xml:space="preserve">À confirmer : La remise de la carte au citoyen relève-t-elle du service de production, ou d’un autre service ?</t>
  </si>
  <si>
    <t xml:space="preserve">S’assurer qu’on ne manque jamais de matière pour produire, et qu’aucune carte vierge ne disparaît.</t>
  </si>
  <si>
    <t xml:space="preserve">• Compter régulièrement les cartes vierges, les rubans et les films.
• Fixer un seuil d’alerte et commander avant de l’atteindre.
• Rapprocher le stock du nombre de cartes produites et rebutées.</t>
  </si>
  <si>
    <t xml:space="preserve">La production ne s’arrête jamais faute de matière, et le stock compté correspond au stock attendu.</t>
  </si>
  <si>
    <t xml:space="preserve">Lexique : Carte vierge : carte qui n’a pas encore de données. Son stock est sensible : il doit être compté et protégé.</t>
  </si>
  <si>
    <t xml:space="preserve">Entretenir les machines avant qu’elles tombent en panne.</t>
  </si>
  <si>
    <t xml:space="preserve">• Suivre le calendrier d’entretien prévu par les fabricants.
• Nettoyer et contrôler les machines aux dates prévues.
• Garder une trace de chaque intervention et de chaque panne.</t>
  </si>
  <si>
    <t xml:space="preserve">Peu d’arrêts imprévus et des machines disponibles quand on en a besoin.</t>
  </si>
  <si>
    <t xml:space="preserve">Protéger les locaux, les cartes et la matière contre la perte et le vol.</t>
  </si>
  <si>
    <t xml:space="preserve">• Limiter l’accès à la salle de production aux personnes autorisées.
• Tenir un registre d’entrée et de sortie des cartes vierges et des cartes finies.
• Détruire les rebuts selon la procédure, devant témoin, avec un procès-verbal.</t>
  </si>
  <si>
    <t xml:space="preserve">Aucune carte ne disparaît sans explication : les inventaires tombent juste.</t>
  </si>
  <si>
    <t xml:space="preserve">Garder confidentielles les informations des titulaires : état civil, photo, empreintes.</t>
  </si>
  <si>
    <t xml:space="preserve">• Donner l’accès aux données seulement à ceux qui en ont besoin.
• Ne jamais copier de données personnelles hors des systèmes prévus.
• Signaler tout incident tout de suite à la Direction.</t>
  </si>
  <si>
    <t xml:space="preserve">Aucun incident de sécurité des données.</t>
  </si>
  <si>
    <t xml:space="preserve">Conseil : Ce tableau de bord ne contient que des totaux. N’y saisissez jamais de nom, de numéro de carte ni d’empreinte.</t>
  </si>
  <si>
    <t xml:space="preserve">Diriger les équipes qui fabriquent les cartes.</t>
  </si>
  <si>
    <t xml:space="preserve">• Organiser le planning des équipes : jour, nuit, remplacements.
• Former les nouveaux opérateurs aux procédures.
• Faire un point régulier sur les résultats et les difficultés.</t>
  </si>
  <si>
    <t xml:space="preserve">Tous les postes sont tenus et l’équipe connaît ses objectifs.</t>
  </si>
  <si>
    <t xml:space="preserve">Résumer chaque mois, en chiffres, ce que le service a produit et ce qui a posé problème. C’est ce que permet ce tableau de bord.</t>
  </si>
  <si>
    <t xml:space="preserve">• Rassembler les chiffres du journal de production, des contrôles et des expéditions.
• Les comparer aux objectifs.
• Les présenter à la Direction avec les points d’attention.</t>
  </si>
  <si>
    <t xml:space="preserve">Le tableau est prêt à date fixe et la Direction s’en sert pour décider.</t>
  </si>
  <si>
    <t xml:space="preserve">Répondre aux situations hors du cours normal : carte perdue, erreur sur une carte, dossier urgent.</t>
  </si>
  <si>
    <t xml:space="preserve">• Enregistrer chaque réclamation avec sa date.
• Trouver la cause dans le journal de production.
• Répondre et, si besoin, refaire la carte.</t>
  </si>
  <si>
    <t xml:space="preserve">Chaque réclamation reçoit une réponse dans le délai fixé.</t>
  </si>
  <si>
    <t xml:space="preserve">C’est une clause ouverte : la Direction peut confier d’autres tâches liées au service.</t>
  </si>
  <si>
    <t xml:space="preserve">• Noter chaque demande : date, contenu, échéance.
• Cela évite les oublis et permet de montrer ce qui a été fait.</t>
  </si>
  <si>
    <t xml:space="preserve">Les demandes sont traitées dans les délais.</t>
  </si>
  <si>
    <t xml:space="preserve">Conseil : Pour une tâche importante ou inhabituelle, demandez une confirmation écrite. Les limites exactes dépendent du contrat de travail.</t>
  </si>
  <si>
    <t xml:space="preserve">PETIT LEXIQUE</t>
  </si>
  <si>
    <t xml:space="preserve">CNIB</t>
  </si>
  <si>
    <t xml:space="preserve">Carte nationale d’identité biométrique : pièce d’identité qui contient, en plus de l’état civil, des données biométriques du titulaire.</t>
  </si>
  <si>
    <t xml:space="preserve">Enrôlement</t>
  </si>
  <si>
    <t xml:space="preserve">Collecte des données du citoyen (état civil, photo, empreintes) dans un centre d’enrôlement.</t>
  </si>
  <si>
    <t xml:space="preserve">Données biométriques</t>
  </si>
  <si>
    <t xml:space="preserve">Caractéristiques physiques mesurables d’une personne, comme les empreintes digitales et le visage.</t>
  </si>
  <si>
    <t xml:space="preserve">Dédoublonnage biométrique</t>
  </si>
  <si>
    <t xml:space="preserve">Vérification qu’une même personne n’a pas deux cartes, en comparant ses données biométriques.</t>
  </si>
  <si>
    <t xml:space="preserve">Lot</t>
  </si>
  <si>
    <t xml:space="preserve">Groupe de dossiers ou de cartes traités ensemble, avec un numéro qui permet de suivre chaque étape.</t>
  </si>
  <si>
    <t xml:space="preserve">Personnalisation</t>
  </si>
  <si>
    <t xml:space="preserve">Étape où l’on inscrit les données du titulaire sur la carte vierge. Selon le modèle : impression, gravure, encodage de la puce.</t>
  </si>
  <si>
    <t xml:space="preserve">Carte vierge</t>
  </si>
  <si>
    <t xml:space="preserve">Carte qui n’a pas encore de données. Son stock est sensible : il doit être compté et protégé.</t>
  </si>
  <si>
    <t xml:space="preserve">Rebut</t>
  </si>
  <si>
    <t xml:space="preserve">Carte ratée ou défectueuse. Elle contient des données personnelles : on l’enregistre puis on la détruit de façon sécurisée.</t>
  </si>
  <si>
    <t xml:space="preserve">Traçabilité</t>
  </si>
  <si>
    <t xml:space="preserve">Possibilité de retrouver, pour chaque carte, ce qui a été fait, quand et par qui.</t>
  </si>
  <si>
    <t xml:space="preserve">À CLARIFIER AVEC LA DIRECTION</t>
  </si>
  <si>
    <t xml:space="preserve">1. Où commence et où finit le service : reçoit-il des dossiers déjà validés et dédoublonnés, ou fait-il lui-même ces vérifications ?</t>
  </si>
  <si>
    <t xml:space="preserve">2. La remise de la carte au citoyen relève-t-elle du service de production ou d’un autre service ?</t>
  </si>
  <si>
    <t xml:space="preserve">3. Quel est le modèle exact de la carte (puce, gravure, autres éléments) et quels équipements sont utilisés ? Les étapes et les contrôles en dépendent.</t>
  </si>
  <si>
    <t xml:space="preserve">4. Quels délais de production et d’expédition, et quel taux de rebut maximal, sont exigés par la Direction ou par le client ? Les cibles du tableau de bord sont des exemples en attendant.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</si>
</sst>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%"/>
    <numFmt numFmtId="167" formatCode="0.0%"/>
    <numFmt numFmtId="168" formatCode="\+0.0%;\-0.0%;0.0%"/>
    <numFmt numFmtId="169" formatCode="#,##0"/>
    <numFmt numFmtId="170" formatCode="\+0;\-0;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B429D"/>
      <name val="Arial"/>
      <family val="0"/>
      <charset val="1"/>
    </font>
    <font>
      <b val="true"/>
      <sz val="16"/>
      <color rgb="FF1B429D"/>
      <name val="Arial"/>
      <family val="0"/>
      <charset val="1"/>
    </font>
    <font>
      <sz val="9"/>
      <color rgb="FF5664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664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56647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56647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3E9F7"/>
        <bgColor rgb="FFDCE2EB"/>
      </patternFill>
    </fill>
    <fill>
      <patternFill patternType="solid">
        <fgColor rgb="FF1B429D"/>
        <bgColor rgb="FF003366"/>
      </patternFill>
    </fill>
    <fill>
      <patternFill patternType="solid">
        <fgColor rgb="FF1C7A4B"/>
        <bgColor rgb="FF008080"/>
      </patternFill>
    </fill>
    <fill>
      <patternFill patternType="solid">
        <fgColor rgb="FF8F5200"/>
        <bgColor rgb="FFB3261E"/>
      </patternFill>
    </fill>
    <fill>
      <patternFill patternType="solid">
        <fgColor rgb="FFB3261E"/>
        <bgColor rgb="FF993366"/>
      </patternFill>
    </fill>
    <fill>
      <patternFill patternType="solid">
        <fgColor rgb="FF566478"/>
        <bgColor rgb="FF4F81BD"/>
      </patternFill>
    </fill>
    <fill>
      <patternFill patternType="solid">
        <fgColor rgb="FFF2F5F9"/>
        <bgColor rgb="FFEEF1F5"/>
      </patternFill>
    </fill>
    <fill>
      <patternFill patternType="solid">
        <fgColor rgb="FFFFF4C2"/>
        <bgColor rgb="FFFDF0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2EB"/>
      </left>
      <right style="thin">
        <color rgb="FFDCE2EB"/>
      </right>
      <top style="thin">
        <color rgb="FFDCE2EB"/>
      </top>
      <bottom style="thin">
        <color rgb="FFDCE2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name val="Arial"/>
        <charset val="1"/>
        <family val="0"/>
        <b val="1"/>
        <color rgb="FFB3261E"/>
      </font>
      <fill>
        <patternFill>
          <bgColor rgb="FFFBE7E5"/>
        </patternFill>
      </fill>
    </dxf>
    <dxf>
      <font>
        <name val="Arial"/>
        <charset val="1"/>
        <family val="0"/>
        <b val="1"/>
        <color rgb="FF8F5200"/>
      </font>
      <fill>
        <patternFill>
          <bgColor rgb="FFFDF0D5"/>
        </patternFill>
      </fill>
    </dxf>
    <dxf>
      <font>
        <name val="Arial"/>
        <charset val="1"/>
        <family val="0"/>
        <b val="1"/>
        <color rgb="FFB3261E"/>
      </font>
    </dxf>
    <dxf>
      <font>
        <name val="Arial"/>
        <charset val="1"/>
        <family val="0"/>
        <b val="1"/>
        <color rgb="FF1C7A4B"/>
      </font>
      <fill>
        <patternFill>
          <bgColor rgb="FFE1F3E8"/>
        </patternFill>
      </fill>
    </dxf>
    <dxf>
      <fill>
        <patternFill patternType="solid">
          <fgColor rgb="FF1B429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1F3E8"/>
          <bgColor rgb="FF000000"/>
        </patternFill>
      </fill>
    </dxf>
    <dxf>
      <fill>
        <patternFill patternType="solid">
          <fgColor rgb="FFE3E9F7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 patternType="solid">
          <fgColor rgb="FFFBE7E5"/>
          <bgColor rgb="FF000000"/>
        </patternFill>
      </fill>
    </dxf>
    <dxf>
      <fill>
        <patternFill patternType="solid">
          <fgColor rgb="FF1C7A4B"/>
          <bgColor rgb="FF000000"/>
        </patternFill>
      </fill>
    </dxf>
    <dxf>
      <fill>
        <patternFill patternType="solid">
          <fgColor rgb="FF566478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Arial"/>
        <charset val="1"/>
        <family val="0"/>
        <b val="1"/>
        <color rgb="FF1B429D"/>
      </font>
      <fill>
        <patternFill>
          <bgColor rgb="FFE3E9F7"/>
        </patternFill>
      </fill>
    </dxf>
    <dxf>
      <font>
        <name val="Arial"/>
        <charset val="1"/>
        <family val="0"/>
        <b val="1"/>
        <color rgb="FF566478"/>
      </font>
      <fill>
        <patternFill>
          <bgColor rgb="FFEEF1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F5200"/>
      <rgbColor rgb="FF800080"/>
      <rgbColor rgb="FF1C7A4B"/>
      <rgbColor rgb="FFD9D9D9"/>
      <rgbColor rgb="FF878787"/>
      <rgbColor rgb="FF9999FF"/>
      <rgbColor rgb="FF993366"/>
      <rgbColor rgb="FFFFF4C2"/>
      <rgbColor rgb="FFE1F3E8"/>
      <rgbColor rgb="FF660066"/>
      <rgbColor rgb="FFFF8080"/>
      <rgbColor rgb="FF0066CC"/>
      <rgbColor rgb="FFC9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9F7"/>
      <rgbColor rgb="FFEEF1F5"/>
      <rgbColor rgb="FFFDF0D5"/>
      <rgbColor rgb="FFDCE2EB"/>
      <rgbColor rgb="FFF2F5F9"/>
      <rgbColor rgb="FFCC99FF"/>
      <rgbColor rgb="FFFBE7E5"/>
      <rgbColor rgb="FF4F81BD"/>
      <rgbColor rgb="FF33CCCC"/>
      <rgbColor rgb="FF99CC00"/>
      <rgbColor rgb="FFFFCC00"/>
      <rgbColor rgb="FFE0A02A"/>
      <rgbColor rgb="FFFF6600"/>
      <rgbColor rgb="FF566478"/>
      <rgbColor rgb="FF8A96A8"/>
      <rgbColor rgb="FF003366"/>
      <rgbColor rgb="FF339966"/>
      <rgbColor rgb="FF003300"/>
      <rgbColor rgb="FF333300"/>
      <rgbColor rgb="FFB3261E"/>
      <rgbColor rgb="FF993366"/>
      <rgbColor rgb="FF1B429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Missions par domaine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'Tableau de bord'!C11</c:f>
              <c:strCache>
                <c:ptCount val="1"/>
                <c:pt idx="0">
                  <c:v>Fait</c:v>
                </c:pt>
              </c:strCache>
            </c:strRef>
          </c:tx>
          <c:spPr>
            <a:solidFill>
              <a:srgbClr val="1c7a4b"/>
            </a:solidFill>
            <a:ln w="0">
              <a:solidFill>
                <a:srgbClr val="1c7a4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bord'!$A$12:$A$17</c:f>
              <c:strCache>
                <c:ptCount val="6"/>
                <c:pt idx="0">
                  <c:v>Réception et planification</c:v>
                </c:pt>
                <c:pt idx="1">
                  <c:v>Personnalisation des cartes</c:v>
                </c:pt>
                <c:pt idx="2">
                  <c:v>Contrôle qualité</c:v>
                </c:pt>
                <c:pt idx="3">
                  <c:v>Expédition et remise</c:v>
                </c:pt>
                <c:pt idx="4">
                  <c:v>Équipements, stocks et sécurité</c:v>
                </c:pt>
                <c:pt idx="5">
                  <c:v>Pilotage et reporting</c:v>
                </c:pt>
              </c:strCache>
            </c:strRef>
          </c:cat>
          <c:val>
            <c:numRef>
              <c:f>'Tableau de bord'!$C$12:$C$17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strRef>
              <c:f>'Tableau de bord'!D11</c:f>
              <c:strCache>
                <c:ptCount val="1"/>
                <c:pt idx="0">
                  <c:v>En cours</c:v>
                </c:pt>
              </c:strCache>
            </c:strRef>
          </c:tx>
          <c:spPr>
            <a:solidFill>
              <a:srgbClr val="1b429d"/>
            </a:solidFill>
            <a:ln w="0">
              <a:solidFill>
                <a:srgbClr val="1b429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bord'!$A$12:$A$17</c:f>
              <c:strCache>
                <c:ptCount val="6"/>
                <c:pt idx="0">
                  <c:v>Réception et planification</c:v>
                </c:pt>
                <c:pt idx="1">
                  <c:v>Personnalisation des cartes</c:v>
                </c:pt>
                <c:pt idx="2">
                  <c:v>Contrôle qualité</c:v>
                </c:pt>
                <c:pt idx="3">
                  <c:v>Expédition et remise</c:v>
                </c:pt>
                <c:pt idx="4">
                  <c:v>Équipements, stocks et sécurité</c:v>
                </c:pt>
                <c:pt idx="5">
                  <c:v>Pilotage et reporting</c:v>
                </c:pt>
              </c:strCache>
            </c:strRef>
          </c:cat>
          <c:val>
            <c:numRef>
              <c:f>'Tableau de bord'!$D$12:$D$17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</c:ser>
        <c:ser>
          <c:idx val="2"/>
          <c:order val="2"/>
          <c:tx>
            <c:strRef>
              <c:f>'Tableau de bord'!E11</c:f>
              <c:strCache>
                <c:ptCount val="1"/>
                <c:pt idx="0">
                  <c:v>Bloquée</c:v>
                </c:pt>
              </c:strCache>
            </c:strRef>
          </c:tx>
          <c:spPr>
            <a:solidFill>
              <a:srgbClr val="b3261e"/>
            </a:solidFill>
            <a:ln w="0">
              <a:solidFill>
                <a:srgbClr val="b3261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bord'!$A$12:$A$17</c:f>
              <c:strCache>
                <c:ptCount val="6"/>
                <c:pt idx="0">
                  <c:v>Réception et planification</c:v>
                </c:pt>
                <c:pt idx="1">
                  <c:v>Personnalisation des cartes</c:v>
                </c:pt>
                <c:pt idx="2">
                  <c:v>Contrôle qualité</c:v>
                </c:pt>
                <c:pt idx="3">
                  <c:v>Expédition et remise</c:v>
                </c:pt>
                <c:pt idx="4">
                  <c:v>Équipements, stocks et sécurité</c:v>
                </c:pt>
                <c:pt idx="5">
                  <c:v>Pilotage et reporting</c:v>
                </c:pt>
              </c:strCache>
            </c:strRef>
          </c:cat>
          <c:val>
            <c:numRef>
              <c:f>'Tableau de bord'!$E$12:$E$17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'Tableau de bord'!F11</c:f>
              <c:strCache>
                <c:ptCount val="1"/>
                <c:pt idx="0">
                  <c:v>À faire</c:v>
                </c:pt>
              </c:strCache>
            </c:strRef>
          </c:tx>
          <c:spPr>
            <a:solidFill>
              <a:srgbClr val="c9d1dc"/>
            </a:solidFill>
            <a:ln w="0">
              <a:solidFill>
                <a:srgbClr val="c9d1d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bord'!$A$12:$A$17</c:f>
              <c:strCache>
                <c:ptCount val="6"/>
                <c:pt idx="0">
                  <c:v>Réception et planification</c:v>
                </c:pt>
                <c:pt idx="1">
                  <c:v>Personnalisation des cartes</c:v>
                </c:pt>
                <c:pt idx="2">
                  <c:v>Contrôle qualité</c:v>
                </c:pt>
                <c:pt idx="3">
                  <c:v>Expédition et remise</c:v>
                </c:pt>
                <c:pt idx="4">
                  <c:v>Équipements, stocks et sécurité</c:v>
                </c:pt>
                <c:pt idx="5">
                  <c:v>Pilotage et reporting</c:v>
                </c:pt>
              </c:strCache>
            </c:strRef>
          </c:cat>
          <c:val>
            <c:numRef>
              <c:f>'Tableau de bord'!$F$12:$F$17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</c:ser>
        <c:gapWidth val="150"/>
        <c:overlap val="100"/>
        <c:axId val="67843816"/>
        <c:axId val="83570286"/>
      </c:barChart>
      <c:catAx>
        <c:axId val="678438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70286"/>
        <c:crosses val="autoZero"/>
        <c:auto val="1"/>
        <c:lblAlgn val="ctr"/>
        <c:lblOffset val="100"/>
        <c:noMultiLvlLbl val="0"/>
      </c:catAx>
      <c:valAx>
        <c:axId val="8357028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8438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État des indicateurs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c7a4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0a02a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b3261e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8a96a8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bord'!$B$5:$E$5</c:f>
              <c:strCache>
                <c:ptCount val="4"/>
                <c:pt idx="0">
                  <c:v>Atteint</c:v>
                </c:pt>
                <c:pt idx="1">
                  <c:v>À surveiller</c:v>
                </c:pt>
                <c:pt idx="2">
                  <c:v>Hors cible</c:v>
                </c:pt>
                <c:pt idx="3">
                  <c:v>À renseigner</c:v>
                </c:pt>
              </c:strCache>
            </c:strRef>
          </c:cat>
          <c:val>
            <c:numRef>
              <c:f>'Tableau de bord'!$B$6:$E$6</c:f>
              <c:numCache>
                <c:formatCode>General</c:formatCode>
                <c:ptCount val="4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59855001"/>
        <c:axId val="191817"/>
      </c:barChart>
      <c:catAx>
        <c:axId val="59855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817"/>
        <c:crosses val="autoZero"/>
        <c:auto val="1"/>
        <c:lblAlgn val="ctr"/>
        <c:lblOffset val="100"/>
        <c:noMultiLvlLbl val="0"/>
      </c:catAx>
      <c:valAx>
        <c:axId val="19181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55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4</xdr:col>
      <xdr:colOff>42840</xdr:colOff>
      <xdr:row>36</xdr:row>
      <xdr:rowOff>11520</xdr:rowOff>
    </xdr:to>
    <xdr:graphicFrame>
      <xdr:nvGraphicFramePr>
        <xdr:cNvPr id="0" name="Chart 1"/>
        <xdr:cNvGraphicFramePr/>
      </xdr:nvGraphicFramePr>
      <xdr:xfrm>
        <a:off x="0" y="5172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0</xdr:rowOff>
    </xdr:from>
    <xdr:to>
      <xdr:col>8</xdr:col>
      <xdr:colOff>231480</xdr:colOff>
      <xdr:row>36</xdr:row>
      <xdr:rowOff>11520</xdr:rowOff>
    </xdr:to>
    <xdr:graphicFrame>
      <xdr:nvGraphicFramePr>
        <xdr:cNvPr id="1" name="Chart 2"/>
        <xdr:cNvGraphicFramePr/>
      </xdr:nvGraphicFramePr>
      <xdr:xfrm>
        <a:off x="5356800" y="517212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742680</xdr:colOff>
      <xdr:row>2</xdr:row>
      <xdr:rowOff>161640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831708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29D"/>
    <pageSetUpPr fitToPage="true"/>
  </sheetPr>
  <dimension ref="A1:I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4"/>
    <col collapsed="false" customWidth="true" hidden="false" outlineLevel="0" max="9" min="8" style="0" width="16"/>
  </cols>
  <sheetData>
    <row r="1" customFormat="false" ht="18" hidden="false" customHeight="tru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</row>
    <row r="3" customFormat="false" ht="18" hidden="false" customHeight="tru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5"/>
      <c r="C4" s="5"/>
      <c r="D4" s="5"/>
      <c r="E4" s="5"/>
      <c r="F4" s="5"/>
      <c r="G4" s="5"/>
      <c r="H4" s="5"/>
      <c r="I4" s="5"/>
    </row>
    <row r="5" customFormat="false" ht="30" hidden="false" customHeight="true" outlineLevel="0" collapsed="false">
      <c r="A5" s="6"/>
      <c r="B5" s="7" t="s">
        <v>4</v>
      </c>
      <c r="C5" s="8" t="s">
        <v>5</v>
      </c>
      <c r="D5" s="9" t="s">
        <v>6</v>
      </c>
      <c r="E5" s="10" t="s">
        <v>7</v>
      </c>
      <c r="F5" s="6" t="s">
        <v>8</v>
      </c>
      <c r="G5" s="6" t="s">
        <v>9</v>
      </c>
    </row>
    <row r="6" customFormat="false" ht="30" hidden="false" customHeight="true" outlineLevel="0" collapsed="false">
      <c r="A6" s="11" t="s">
        <v>10</v>
      </c>
      <c r="B6" s="12" t="n">
        <f aca="false">COUNTIF(Indicateurs!$H$6:$H$19,B$5)</f>
        <v>8</v>
      </c>
      <c r="C6" s="12" t="n">
        <f aca="false">COUNTIF(Indicateurs!$H$6:$H$19,C$5)</f>
        <v>4</v>
      </c>
      <c r="D6" s="12" t="n">
        <f aca="false">COUNTIF(Indicateurs!$H$6:$H$19,D$5)</f>
        <v>2</v>
      </c>
      <c r="E6" s="12" t="n">
        <f aca="false">COUNTIF(Indicateurs!$H$6:$H$19,E$5)</f>
        <v>0</v>
      </c>
      <c r="F6" s="12" t="n">
        <f aca="false">SUM(B6:E6)</f>
        <v>14</v>
      </c>
      <c r="G6" s="13" t="n">
        <f aca="false">IF(F6=0,0,B6/F6)</f>
        <v>0.571428571428571</v>
      </c>
    </row>
    <row r="7" customFormat="false" ht="30" hidden="false" customHeight="true" outlineLevel="0" collapsed="false">
      <c r="A7" s="6"/>
      <c r="B7" s="7" t="s">
        <v>11</v>
      </c>
      <c r="C7" s="6" t="s">
        <v>12</v>
      </c>
      <c r="D7" s="9" t="s">
        <v>13</v>
      </c>
      <c r="E7" s="10" t="s">
        <v>14</v>
      </c>
      <c r="F7" s="6" t="s">
        <v>8</v>
      </c>
      <c r="G7" s="6" t="s">
        <v>15</v>
      </c>
    </row>
    <row r="8" customFormat="false" ht="30" hidden="false" customHeight="true" outlineLevel="0" collapsed="false">
      <c r="A8" s="11" t="s">
        <v>16</v>
      </c>
      <c r="B8" s="12" t="n">
        <f aca="false">COUNTIF(Missions!$H$5:$H$25,B$7)</f>
        <v>11</v>
      </c>
      <c r="C8" s="12" t="n">
        <f aca="false">COUNTIF(Missions!$H$5:$H$25,C$7)</f>
        <v>4</v>
      </c>
      <c r="D8" s="12" t="n">
        <f aca="false">COUNTIF(Missions!$H$5:$H$25,D$7)</f>
        <v>2</v>
      </c>
      <c r="E8" s="12" t="n">
        <f aca="false">COUNTIF(Missions!$H$5:$H$25,E$7)</f>
        <v>4</v>
      </c>
      <c r="F8" s="12" t="n">
        <f aca="false">SUM(B8:E8)</f>
        <v>21</v>
      </c>
      <c r="G8" s="13" t="n">
        <f aca="false">IF(F8=0,0,B8/F8)</f>
        <v>0.523809523809524</v>
      </c>
    </row>
    <row r="10" customFormat="false" ht="15" hidden="false" customHeight="false" outlineLevel="0" collapsed="false">
      <c r="A10" s="4" t="s">
        <v>17</v>
      </c>
      <c r="B10" s="5"/>
      <c r="C10" s="5"/>
      <c r="D10" s="5"/>
      <c r="E10" s="5"/>
      <c r="F10" s="5"/>
      <c r="G10" s="5"/>
      <c r="H10" s="5"/>
      <c r="I10" s="5"/>
    </row>
    <row r="11" customFormat="false" ht="43.5" hidden="false" customHeight="true" outlineLevel="0" collapsed="false">
      <c r="A11" s="6" t="s">
        <v>18</v>
      </c>
      <c r="B11" s="6" t="s">
        <v>19</v>
      </c>
      <c r="C11" s="6" t="s">
        <v>11</v>
      </c>
      <c r="D11" s="6" t="s">
        <v>12</v>
      </c>
      <c r="E11" s="6" t="s">
        <v>13</v>
      </c>
      <c r="F11" s="6" t="s">
        <v>14</v>
      </c>
      <c r="G11" s="6" t="s">
        <v>15</v>
      </c>
      <c r="H11" s="6" t="s">
        <v>20</v>
      </c>
      <c r="I11" s="6" t="s">
        <v>21</v>
      </c>
    </row>
    <row r="12" customFormat="false" ht="15" hidden="false" customHeight="false" outlineLevel="0" collapsed="false">
      <c r="A12" s="14" t="s">
        <v>22</v>
      </c>
      <c r="B12" s="15" t="n">
        <f aca="false">COUNTIF(Missions!$B$5:$B$25,$A12)</f>
        <v>4</v>
      </c>
      <c r="C12" s="15" t="n">
        <f aca="false">COUNTIFS(Missions!$B$5:$B$25,$A12,Missions!$H$5:$H$25,C$11)</f>
        <v>3</v>
      </c>
      <c r="D12" s="15" t="n">
        <f aca="false">COUNTIFS(Missions!$B$5:$B$25,$A12,Missions!$H$5:$H$25,D$11)</f>
        <v>1</v>
      </c>
      <c r="E12" s="15" t="n">
        <f aca="false">COUNTIFS(Missions!$B$5:$B$25,$A12,Missions!$H$5:$H$25,E$11)</f>
        <v>0</v>
      </c>
      <c r="F12" s="15" t="n">
        <f aca="false">COUNTIFS(Missions!$B$5:$B$25,$A12,Missions!$H$5:$H$25,F$11)</f>
        <v>0</v>
      </c>
      <c r="G12" s="16" t="n">
        <f aca="false">IF($B12=0,0,C12/$B12)</f>
        <v>0.75</v>
      </c>
      <c r="H12" s="15" t="n">
        <f aca="false">COUNTIFS(Indicateurs!$A$6:$A$19,$A12,Indicateurs!$H$6:$H$19,"Hors cible")</f>
        <v>0</v>
      </c>
      <c r="I12" s="15" t="n">
        <f aca="false">COUNTIFS(Indicateurs!$A$6:$A$19,$A12,Indicateurs!$H$6:$H$19,"À surveiller")</f>
        <v>1</v>
      </c>
    </row>
    <row r="13" customFormat="false" ht="15" hidden="false" customHeight="false" outlineLevel="0" collapsed="false">
      <c r="A13" s="14" t="s">
        <v>23</v>
      </c>
      <c r="B13" s="15" t="n">
        <f aca="false">COUNTIF(Missions!$B$5:$B$25,$A13)</f>
        <v>3</v>
      </c>
      <c r="C13" s="15" t="n">
        <f aca="false">COUNTIFS(Missions!$B$5:$B$25,$A13,Missions!$H$5:$H$25,C$11)</f>
        <v>2</v>
      </c>
      <c r="D13" s="15" t="n">
        <f aca="false">COUNTIFS(Missions!$B$5:$B$25,$A13,Missions!$H$5:$H$25,D$11)</f>
        <v>1</v>
      </c>
      <c r="E13" s="15" t="n">
        <f aca="false">COUNTIFS(Missions!$B$5:$B$25,$A13,Missions!$H$5:$H$25,E$11)</f>
        <v>0</v>
      </c>
      <c r="F13" s="15" t="n">
        <f aca="false">COUNTIFS(Missions!$B$5:$B$25,$A13,Missions!$H$5:$H$25,F$11)</f>
        <v>0</v>
      </c>
      <c r="G13" s="16" t="n">
        <f aca="false">IF($B13=0,0,C13/$B13)</f>
        <v>0.666666666666667</v>
      </c>
      <c r="H13" s="15" t="n">
        <f aca="false">COUNTIFS(Indicateurs!$A$6:$A$19,$A13,Indicateurs!$H$6:$H$19,"Hors cible")</f>
        <v>0</v>
      </c>
      <c r="I13" s="15" t="n">
        <f aca="false">COUNTIFS(Indicateurs!$A$6:$A$19,$A13,Indicateurs!$H$6:$H$19,"À surveiller")</f>
        <v>1</v>
      </c>
    </row>
    <row r="14" customFormat="false" ht="15" hidden="false" customHeight="false" outlineLevel="0" collapsed="false">
      <c r="A14" s="14" t="s">
        <v>24</v>
      </c>
      <c r="B14" s="15" t="n">
        <f aca="false">COUNTIF(Missions!$B$5:$B$25,$A14)</f>
        <v>3</v>
      </c>
      <c r="C14" s="15" t="n">
        <f aca="false">COUNTIFS(Missions!$B$5:$B$25,$A14,Missions!$H$5:$H$25,C$11)</f>
        <v>1</v>
      </c>
      <c r="D14" s="15" t="n">
        <f aca="false">COUNTIFS(Missions!$B$5:$B$25,$A14,Missions!$H$5:$H$25,D$11)</f>
        <v>1</v>
      </c>
      <c r="E14" s="15" t="n">
        <f aca="false">COUNTIFS(Missions!$B$5:$B$25,$A14,Missions!$H$5:$H$25,E$11)</f>
        <v>0</v>
      </c>
      <c r="F14" s="15" t="n">
        <f aca="false">COUNTIFS(Missions!$B$5:$B$25,$A14,Missions!$H$5:$H$25,F$11)</f>
        <v>1</v>
      </c>
      <c r="G14" s="16" t="n">
        <f aca="false">IF($B14=0,0,C14/$B14)</f>
        <v>0.333333333333333</v>
      </c>
      <c r="H14" s="15" t="n">
        <f aca="false">COUNTIFS(Indicateurs!$A$6:$A$19,$A14,Indicateurs!$H$6:$H$19,"Hors cible")</f>
        <v>1</v>
      </c>
      <c r="I14" s="15" t="n">
        <f aca="false">COUNTIFS(Indicateurs!$A$6:$A$19,$A14,Indicateurs!$H$6:$H$19,"À surveiller")</f>
        <v>0</v>
      </c>
    </row>
    <row r="15" customFormat="false" ht="15" hidden="false" customHeight="false" outlineLevel="0" collapsed="false">
      <c r="A15" s="14" t="s">
        <v>25</v>
      </c>
      <c r="B15" s="15" t="n">
        <f aca="false">COUNTIF(Missions!$B$5:$B$25,$A15)</f>
        <v>3</v>
      </c>
      <c r="C15" s="15" t="n">
        <f aca="false">COUNTIFS(Missions!$B$5:$B$25,$A15,Missions!$H$5:$H$25,C$11)</f>
        <v>1</v>
      </c>
      <c r="D15" s="15" t="n">
        <f aca="false">COUNTIFS(Missions!$B$5:$B$25,$A15,Missions!$H$5:$H$25,D$11)</f>
        <v>0</v>
      </c>
      <c r="E15" s="15" t="n">
        <f aca="false">COUNTIFS(Missions!$B$5:$B$25,$A15,Missions!$H$5:$H$25,E$11)</f>
        <v>1</v>
      </c>
      <c r="F15" s="15" t="n">
        <f aca="false">COUNTIFS(Missions!$B$5:$B$25,$A15,Missions!$H$5:$H$25,F$11)</f>
        <v>1</v>
      </c>
      <c r="G15" s="16" t="n">
        <f aca="false">IF($B15=0,0,C15/$B15)</f>
        <v>0.333333333333333</v>
      </c>
      <c r="H15" s="15" t="n">
        <f aca="false">COUNTIFS(Indicateurs!$A$6:$A$19,$A15,Indicateurs!$H$6:$H$19,"Hors cible")</f>
        <v>0</v>
      </c>
      <c r="I15" s="15" t="n">
        <f aca="false">COUNTIFS(Indicateurs!$A$6:$A$19,$A15,Indicateurs!$H$6:$H$19,"À surveiller")</f>
        <v>1</v>
      </c>
    </row>
    <row r="16" customFormat="false" ht="15" hidden="false" customHeight="false" outlineLevel="0" collapsed="false">
      <c r="A16" s="14" t="s">
        <v>26</v>
      </c>
      <c r="B16" s="15" t="n">
        <f aca="false">COUNTIF(Missions!$B$5:$B$25,$A16)</f>
        <v>4</v>
      </c>
      <c r="C16" s="15" t="n">
        <f aca="false">COUNTIFS(Missions!$B$5:$B$25,$A16,Missions!$H$5:$H$25,C$11)</f>
        <v>3</v>
      </c>
      <c r="D16" s="15" t="n">
        <f aca="false">COUNTIFS(Missions!$B$5:$B$25,$A16,Missions!$H$5:$H$25,D$11)</f>
        <v>0</v>
      </c>
      <c r="E16" s="15" t="n">
        <f aca="false">COUNTIFS(Missions!$B$5:$B$25,$A16,Missions!$H$5:$H$25,E$11)</f>
        <v>1</v>
      </c>
      <c r="F16" s="15" t="n">
        <f aca="false">COUNTIFS(Missions!$B$5:$B$25,$A16,Missions!$H$5:$H$25,F$11)</f>
        <v>0</v>
      </c>
      <c r="G16" s="16" t="n">
        <f aca="false">IF($B16=0,0,C16/$B16)</f>
        <v>0.75</v>
      </c>
      <c r="H16" s="15" t="n">
        <f aca="false">COUNTIFS(Indicateurs!$A$6:$A$19,$A16,Indicateurs!$H$6:$H$19,"Hors cible")</f>
        <v>1</v>
      </c>
      <c r="I16" s="15" t="n">
        <f aca="false">COUNTIFS(Indicateurs!$A$6:$A$19,$A16,Indicateurs!$H$6:$H$19,"À surveiller")</f>
        <v>0</v>
      </c>
    </row>
    <row r="17" customFormat="false" ht="15" hidden="false" customHeight="false" outlineLevel="0" collapsed="false">
      <c r="A17" s="14" t="s">
        <v>27</v>
      </c>
      <c r="B17" s="15" t="n">
        <f aca="false">COUNTIF(Missions!$B$5:$B$25,$A17)</f>
        <v>4</v>
      </c>
      <c r="C17" s="15" t="n">
        <f aca="false">COUNTIFS(Missions!$B$5:$B$25,$A17,Missions!$H$5:$H$25,C$11)</f>
        <v>1</v>
      </c>
      <c r="D17" s="15" t="n">
        <f aca="false">COUNTIFS(Missions!$B$5:$B$25,$A17,Missions!$H$5:$H$25,D$11)</f>
        <v>1</v>
      </c>
      <c r="E17" s="15" t="n">
        <f aca="false">COUNTIFS(Missions!$B$5:$B$25,$A17,Missions!$H$5:$H$25,E$11)</f>
        <v>0</v>
      </c>
      <c r="F17" s="15" t="n">
        <f aca="false">COUNTIFS(Missions!$B$5:$B$25,$A17,Missions!$H$5:$H$25,F$11)</f>
        <v>2</v>
      </c>
      <c r="G17" s="16" t="n">
        <f aca="false">IF($B17=0,0,C17/$B17)</f>
        <v>0.25</v>
      </c>
      <c r="H17" s="15" t="n">
        <f aca="false">COUNTIFS(Indicateurs!$A$6:$A$19,$A17,Indicateurs!$H$6:$H$19,"Hors cible")</f>
        <v>0</v>
      </c>
      <c r="I17" s="15" t="n">
        <f aca="false">COUNTIFS(Indicateurs!$A$6:$A$19,$A17,Indicateurs!$H$6:$H$19,"À surveiller")</f>
        <v>1</v>
      </c>
    </row>
    <row r="18" customFormat="false" ht="15" hidden="false" customHeight="false" outlineLevel="0" collapsed="false">
      <c r="A18" s="17" t="s">
        <v>8</v>
      </c>
      <c r="B18" s="18" t="n">
        <f aca="false">SUM(B12:B17)</f>
        <v>21</v>
      </c>
      <c r="C18" s="18" t="n">
        <f aca="false">SUM(C12:C17)</f>
        <v>11</v>
      </c>
      <c r="D18" s="18" t="n">
        <f aca="false">SUM(D12:D17)</f>
        <v>4</v>
      </c>
      <c r="E18" s="18" t="n">
        <f aca="false">SUM(E12:E17)</f>
        <v>2</v>
      </c>
      <c r="F18" s="18" t="n">
        <f aca="false">SUM(F12:F17)</f>
        <v>4</v>
      </c>
      <c r="G18" s="19" t="n">
        <f aca="false">IF(B18=0,0,C18/B18)</f>
        <v>0.523809523809524</v>
      </c>
      <c r="H18" s="18" t="n">
        <f aca="false">SUM(H12:H17)</f>
        <v>2</v>
      </c>
      <c r="I18" s="18" t="n">
        <f aca="false">SUM(I12:I17)</f>
        <v>4</v>
      </c>
    </row>
    <row r="40" customFormat="false" ht="15" hidden="false" customHeight="false" outlineLevel="0" collapsed="false">
      <c r="A40" s="20" t="s">
        <v>28</v>
      </c>
    </row>
  </sheetData>
  <conditionalFormatting sqref="H12:H17">
    <cfRule type="cellIs" priority="2" operator="greaterThan" aboveAverage="0" equalAverage="0" bottom="0" percent="0" rank="0" text="" dxfId="0">
      <formula>0</formula>
    </cfRule>
  </conditionalFormatting>
  <conditionalFormatting sqref="I12:I17">
    <cfRule type="cellIs" priority="3" operator="greaterThan" aboveAverage="0" equalAverage="0" bottom="0" percent="0" rank="0" text="" dxfId="1">
      <formula>0</formula>
    </cfRule>
  </conditionalFormatting>
  <conditionalFormatting sqref="E12:E17">
    <cfRule type="cellIs" priority="4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&amp;C&amp;10 Multimédia Glory Guinée SARLU</oddHeader>
    <oddFooter>&amp;C&amp;9 Page &amp;P sur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2" t="s">
        <v>29</v>
      </c>
    </row>
    <row r="2" customFormat="false" ht="15" hidden="false" customHeight="false" outlineLevel="0" collapsed="false">
      <c r="A2" s="21" t="s">
        <v>30</v>
      </c>
    </row>
    <row r="3" customFormat="false" ht="15" hidden="false" customHeight="false" outlineLevel="0" collapsed="false">
      <c r="A3" s="22" t="s">
        <v>31</v>
      </c>
      <c r="C3" s="23" t="n">
        <v>0.9</v>
      </c>
      <c r="D3" s="20" t="s">
        <v>32</v>
      </c>
    </row>
    <row r="5" customFormat="false" ht="43.5" hidden="false" customHeight="true" outlineLevel="0" collapsed="false">
      <c r="A5" s="6" t="s">
        <v>18</v>
      </c>
      <c r="B5" s="6" t="s">
        <v>33</v>
      </c>
      <c r="C5" s="6" t="s">
        <v>34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39</v>
      </c>
    </row>
    <row r="6" customFormat="false" ht="15" hidden="false" customHeight="false" outlineLevel="0" collapsed="false">
      <c r="A6" s="24" t="s">
        <v>22</v>
      </c>
      <c r="B6" s="24" t="s">
        <v>40</v>
      </c>
      <c r="C6" s="25" t="s">
        <v>41</v>
      </c>
      <c r="D6" s="26"/>
      <c r="E6" s="27" t="n">
        <v>0.95</v>
      </c>
      <c r="F6" s="27" t="n">
        <v>0.93</v>
      </c>
      <c r="G6" s="28" t="n">
        <f aca="false">IF(OR(E6="",F6=""),"",F6-E6)</f>
        <v>-0.0199999999999999</v>
      </c>
      <c r="H6" s="29" t="str">
        <f aca="false">IF(OR(E6="",F6=""),"À renseigner",IF(C6="≥",IF(F6&gt;=E6,"Atteint",IF(F6&gt;=E6*$C$3,"À surveiller","Hors cible")),IF(F6&lt;=E6,"Atteint",IF(F6&lt;=E6+D6,"À surveiller","Hors cible"))))</f>
        <v>À surveiller</v>
      </c>
    </row>
    <row r="7" customFormat="false" ht="15" hidden="false" customHeight="false" outlineLevel="0" collapsed="false">
      <c r="A7" s="24" t="s">
        <v>22</v>
      </c>
      <c r="B7" s="24" t="s">
        <v>42</v>
      </c>
      <c r="C7" s="25" t="s">
        <v>41</v>
      </c>
      <c r="D7" s="26"/>
      <c r="E7" s="27" t="n">
        <v>0.95</v>
      </c>
      <c r="F7" s="27" t="n">
        <v>0.97</v>
      </c>
      <c r="G7" s="28" t="n">
        <f aca="false">IF(OR(E7="",F7=""),"",F7-E7)</f>
        <v>0.02</v>
      </c>
      <c r="H7" s="29" t="str">
        <f aca="false">IF(OR(E7="",F7=""),"À renseigner",IF(C7="≥",IF(F7&gt;=E7,"Atteint",IF(F7&gt;=E7*$C$3,"À surveiller","Hors cible")),IF(F7&lt;=E7,"Atteint",IF(F7&lt;=E7+D7,"À surveiller","Hors cible"))))</f>
        <v>Atteint</v>
      </c>
    </row>
    <row r="8" customFormat="false" ht="15" hidden="false" customHeight="false" outlineLevel="0" collapsed="false">
      <c r="A8" s="24" t="s">
        <v>23</v>
      </c>
      <c r="B8" s="24" t="s">
        <v>43</v>
      </c>
      <c r="C8" s="25" t="s">
        <v>41</v>
      </c>
      <c r="D8" s="26"/>
      <c r="E8" s="30" t="n">
        <v>2000</v>
      </c>
      <c r="F8" s="30" t="n">
        <v>2150</v>
      </c>
      <c r="G8" s="31" t="n">
        <f aca="false">IF(OR(E8="",F8=""),"",F8-E8)</f>
        <v>150</v>
      </c>
      <c r="H8" s="29" t="str">
        <f aca="false">IF(OR(E8="",F8=""),"À renseigner",IF(C8="≥",IF(F8&gt;=E8,"Atteint",IF(F8&gt;=E8*$C$3,"À surveiller","Hors cible")),IF(F8&lt;=E8,"Atteint",IF(F8&lt;=E8+D8,"À surveiller","Hors cible"))))</f>
        <v>Atteint</v>
      </c>
    </row>
    <row r="9" customFormat="false" ht="15" hidden="false" customHeight="false" outlineLevel="0" collapsed="false">
      <c r="A9" s="24" t="s">
        <v>23</v>
      </c>
      <c r="B9" s="24" t="s">
        <v>44</v>
      </c>
      <c r="C9" s="25" t="s">
        <v>45</v>
      </c>
      <c r="D9" s="32" t="n">
        <v>2</v>
      </c>
      <c r="E9" s="30" t="n">
        <v>2</v>
      </c>
      <c r="F9" s="30" t="n">
        <v>3</v>
      </c>
      <c r="G9" s="31" t="n">
        <f aca="false">IF(OR(E9="",F9=""),"",F9-E9)</f>
        <v>1</v>
      </c>
      <c r="H9" s="29" t="str">
        <f aca="false">IF(OR(E9="",F9=""),"À renseigner",IF(C9="≥",IF(F9&gt;=E9,"Atteint",IF(F9&gt;=E9*$C$3,"À surveiller","Hors cible")),IF(F9&lt;=E9,"Atteint",IF(F9&lt;=E9+D9,"À surveiller","Hors cible"))))</f>
        <v>À surveiller</v>
      </c>
    </row>
    <row r="10" customFormat="false" ht="15" hidden="false" customHeight="false" outlineLevel="0" collapsed="false">
      <c r="A10" s="24" t="s">
        <v>24</v>
      </c>
      <c r="B10" s="24" t="s">
        <v>46</v>
      </c>
      <c r="C10" s="25" t="s">
        <v>41</v>
      </c>
      <c r="D10" s="26"/>
      <c r="E10" s="27" t="n">
        <v>0.98</v>
      </c>
      <c r="F10" s="27" t="n">
        <v>0.99</v>
      </c>
      <c r="G10" s="28" t="n">
        <f aca="false">IF(OR(E10="",F10=""),"",F10-E10)</f>
        <v>0.01</v>
      </c>
      <c r="H10" s="29" t="str">
        <f aca="false">IF(OR(E10="",F10=""),"À renseigner",IF(C10="≥",IF(F10&gt;=E10,"Atteint",IF(F10&gt;=E10*$C$3,"À surveiller","Hors cible")),IF(F10&lt;=E10,"Atteint",IF(F10&lt;=E10+D10,"À surveiller","Hors cible"))))</f>
        <v>Atteint</v>
      </c>
    </row>
    <row r="11" customFormat="false" ht="15" hidden="false" customHeight="false" outlineLevel="0" collapsed="false">
      <c r="A11" s="24" t="s">
        <v>24</v>
      </c>
      <c r="B11" s="24" t="s">
        <v>47</v>
      </c>
      <c r="C11" s="25" t="s">
        <v>45</v>
      </c>
      <c r="D11" s="27" t="n">
        <v>0.01</v>
      </c>
      <c r="E11" s="27" t="n">
        <v>0.02</v>
      </c>
      <c r="F11" s="27" t="n">
        <v>0.035</v>
      </c>
      <c r="G11" s="28" t="n">
        <f aca="false">IF(OR(E11="",F11=""),"",F11-E11)</f>
        <v>0.015</v>
      </c>
      <c r="H11" s="29" t="str">
        <f aca="false">IF(OR(E11="",F11=""),"À renseigner",IF(C11="≥",IF(F11&gt;=E11,"Atteint",IF(F11&gt;=E11*$C$3,"À surveiller","Hors cible")),IF(F11&lt;=E11,"Atteint",IF(F11&lt;=E11+D11,"À surveiller","Hors cible"))))</f>
        <v>Hors cible</v>
      </c>
    </row>
    <row r="12" customFormat="false" ht="15" hidden="false" customHeight="false" outlineLevel="0" collapsed="false">
      <c r="A12" s="24" t="s">
        <v>25</v>
      </c>
      <c r="B12" s="24" t="s">
        <v>48</v>
      </c>
      <c r="C12" s="25" t="s">
        <v>41</v>
      </c>
      <c r="D12" s="26"/>
      <c r="E12" s="27" t="n">
        <v>0.98</v>
      </c>
      <c r="F12" s="27" t="n">
        <v>0.98</v>
      </c>
      <c r="G12" s="28" t="n">
        <f aca="false">IF(OR(E12="",F12=""),"",F12-E12)</f>
        <v>0</v>
      </c>
      <c r="H12" s="29" t="str">
        <f aca="false">IF(OR(E12="",F12=""),"À renseigner",IF(C12="≥",IF(F12&gt;=E12,"Atteint",IF(F12&gt;=E12*$C$3,"À surveiller","Hors cible")),IF(F12&lt;=E12,"Atteint",IF(F12&lt;=E12+D12,"À surveiller","Hors cible"))))</f>
        <v>Atteint</v>
      </c>
    </row>
    <row r="13" customFormat="false" ht="15" hidden="false" customHeight="false" outlineLevel="0" collapsed="false">
      <c r="A13" s="24" t="s">
        <v>25</v>
      </c>
      <c r="B13" s="24" t="s">
        <v>49</v>
      </c>
      <c r="C13" s="25" t="s">
        <v>41</v>
      </c>
      <c r="D13" s="26"/>
      <c r="E13" s="27" t="n">
        <v>0.9</v>
      </c>
      <c r="F13" s="27" t="n">
        <v>0.84</v>
      </c>
      <c r="G13" s="28" t="n">
        <f aca="false">IF(OR(E13="",F13=""),"",F13-E13)</f>
        <v>-0.0600000000000001</v>
      </c>
      <c r="H13" s="29" t="str">
        <f aca="false">IF(OR(E13="",F13=""),"À renseigner",IF(C13="≥",IF(F13&gt;=E13,"Atteint",IF(F13&gt;=E13*$C$3,"À surveiller","Hors cible")),IF(F13&lt;=E13,"Atteint",IF(F13&lt;=E13+D13,"À surveiller","Hors cible"))))</f>
        <v>À surveiller</v>
      </c>
    </row>
    <row r="14" customFormat="false" ht="15" hidden="false" customHeight="false" outlineLevel="0" collapsed="false">
      <c r="A14" s="24" t="s">
        <v>26</v>
      </c>
      <c r="B14" s="24" t="s">
        <v>50</v>
      </c>
      <c r="C14" s="25" t="s">
        <v>41</v>
      </c>
      <c r="D14" s="26"/>
      <c r="E14" s="30" t="n">
        <v>30</v>
      </c>
      <c r="F14" s="30" t="n">
        <v>18</v>
      </c>
      <c r="G14" s="31" t="n">
        <f aca="false">IF(OR(E14="",F14=""),"",F14-E14)</f>
        <v>-12</v>
      </c>
      <c r="H14" s="29" t="str">
        <f aca="false">IF(OR(E14="",F14=""),"À renseigner",IF(C14="≥",IF(F14&gt;=E14,"Atteint",IF(F14&gt;=E14*$C$3,"À surveiller","Hors cible")),IF(F14&lt;=E14,"Atteint",IF(F14&lt;=E14+D14,"À surveiller","Hors cible"))))</f>
        <v>Hors cible</v>
      </c>
    </row>
    <row r="15" customFormat="false" ht="15" hidden="false" customHeight="false" outlineLevel="0" collapsed="false">
      <c r="A15" s="24" t="s">
        <v>26</v>
      </c>
      <c r="B15" s="24" t="s">
        <v>51</v>
      </c>
      <c r="C15" s="25" t="s">
        <v>45</v>
      </c>
      <c r="D15" s="32" t="n">
        <v>1</v>
      </c>
      <c r="E15" s="30" t="n">
        <v>0</v>
      </c>
      <c r="F15" s="30" t="n">
        <v>0</v>
      </c>
      <c r="G15" s="31" t="n">
        <f aca="false">IF(OR(E15="",F15=""),"",F15-E15)</f>
        <v>0</v>
      </c>
      <c r="H15" s="29" t="str">
        <f aca="false">IF(OR(E15="",F15=""),"À renseigner",IF(C15="≥",IF(F15&gt;=E15,"Atteint",IF(F15&gt;=E15*$C$3,"À surveiller","Hors cible")),IF(F15&lt;=E15,"Atteint",IF(F15&lt;=E15+D15,"À surveiller","Hors cible"))))</f>
        <v>Atteint</v>
      </c>
    </row>
    <row r="16" customFormat="false" ht="15" hidden="false" customHeight="false" outlineLevel="0" collapsed="false">
      <c r="A16" s="24" t="s">
        <v>26</v>
      </c>
      <c r="B16" s="24" t="s">
        <v>52</v>
      </c>
      <c r="C16" s="25" t="s">
        <v>41</v>
      </c>
      <c r="D16" s="26"/>
      <c r="E16" s="27" t="n">
        <v>0.95</v>
      </c>
      <c r="F16" s="27" t="n">
        <v>0.96</v>
      </c>
      <c r="G16" s="28" t="n">
        <f aca="false">IF(OR(E16="",F16=""),"",F16-E16)</f>
        <v>0.01</v>
      </c>
      <c r="H16" s="29" t="str">
        <f aca="false">IF(OR(E16="",F16=""),"À renseigner",IF(C16="≥",IF(F16&gt;=E16,"Atteint",IF(F16&gt;=E16*$C$3,"À surveiller","Hors cible")),IF(F16&lt;=E16,"Atteint",IF(F16&lt;=E16+D16,"À surveiller","Hors cible"))))</f>
        <v>Atteint</v>
      </c>
    </row>
    <row r="17" customFormat="false" ht="15" hidden="false" customHeight="false" outlineLevel="0" collapsed="false">
      <c r="A17" s="24" t="s">
        <v>26</v>
      </c>
      <c r="B17" s="24" t="s">
        <v>53</v>
      </c>
      <c r="C17" s="25" t="s">
        <v>45</v>
      </c>
      <c r="D17" s="32" t="n">
        <v>0</v>
      </c>
      <c r="E17" s="30" t="n">
        <v>0</v>
      </c>
      <c r="F17" s="30" t="n">
        <v>0</v>
      </c>
      <c r="G17" s="31" t="n">
        <f aca="false">IF(OR(E17="",F17=""),"",F17-E17)</f>
        <v>0</v>
      </c>
      <c r="H17" s="29" t="str">
        <f aca="false">IF(OR(E17="",F17=""),"À renseigner",IF(C17="≥",IF(F17&gt;=E17,"Atteint",IF(F17&gt;=E17*$C$3,"À surveiller","Hors cible")),IF(F17&lt;=E17,"Atteint",IF(F17&lt;=E17+D17,"À surveiller","Hors cible"))))</f>
        <v>Atteint</v>
      </c>
    </row>
    <row r="18" customFormat="false" ht="15" hidden="false" customHeight="false" outlineLevel="0" collapsed="false">
      <c r="A18" s="24" t="s">
        <v>27</v>
      </c>
      <c r="B18" s="24" t="s">
        <v>54</v>
      </c>
      <c r="C18" s="25" t="s">
        <v>41</v>
      </c>
      <c r="D18" s="26"/>
      <c r="E18" s="27" t="n">
        <v>0.95</v>
      </c>
      <c r="F18" s="27" t="n">
        <v>0.95</v>
      </c>
      <c r="G18" s="28" t="n">
        <f aca="false">IF(OR(E18="",F18=""),"",F18-E18)</f>
        <v>0</v>
      </c>
      <c r="H18" s="29" t="str">
        <f aca="false">IF(OR(E18="",F18=""),"À renseigner",IF(C18="≥",IF(F18&gt;=E18,"Atteint",IF(F18&gt;=E18*$C$3,"À surveiller","Hors cible")),IF(F18&lt;=E18,"Atteint",IF(F18&lt;=E18+D18,"À surveiller","Hors cible"))))</f>
        <v>Atteint</v>
      </c>
    </row>
    <row r="19" customFormat="false" ht="15" hidden="false" customHeight="false" outlineLevel="0" collapsed="false">
      <c r="A19" s="24" t="s">
        <v>27</v>
      </c>
      <c r="B19" s="24" t="s">
        <v>55</v>
      </c>
      <c r="C19" s="25" t="s">
        <v>41</v>
      </c>
      <c r="D19" s="26"/>
      <c r="E19" s="27" t="n">
        <v>0.95</v>
      </c>
      <c r="F19" s="27" t="n">
        <v>0.9</v>
      </c>
      <c r="G19" s="28" t="n">
        <f aca="false">IF(OR(E19="",F19=""),"",F19-E19)</f>
        <v>-0.0499999999999999</v>
      </c>
      <c r="H19" s="29" t="str">
        <f aca="false">IF(OR(E19="",F19=""),"À renseigner",IF(C19="≥",IF(F19&gt;=E19,"Atteint",IF(F19&gt;=E19*$C$3,"À surveiller","Hors cible")),IF(F19&lt;=E19,"Atteint",IF(F19&lt;=E19+D19,"À surveiller","Hors cible"))))</f>
        <v>À surveiller</v>
      </c>
    </row>
    <row r="21" customFormat="false" ht="15" hidden="false" customHeight="false" outlineLevel="0" collapsed="false">
      <c r="A21" s="33" t="s">
        <v>56</v>
      </c>
    </row>
    <row r="22" customFormat="false" ht="15" hidden="false" customHeight="false" outlineLevel="0" collapsed="false">
      <c r="A22" s="20" t="s">
        <v>57</v>
      </c>
    </row>
    <row r="23" customFormat="false" ht="15" hidden="false" customHeight="false" outlineLevel="0" collapsed="false">
      <c r="A23" s="20" t="s">
        <v>58</v>
      </c>
    </row>
    <row r="24" customFormat="false" ht="15" hidden="false" customHeight="false" outlineLevel="0" collapsed="false">
      <c r="A24" s="20" t="s">
        <v>59</v>
      </c>
    </row>
    <row r="25" customFormat="false" ht="15" hidden="false" customHeight="false" outlineLevel="0" collapsed="false">
      <c r="A25" s="20" t="s">
        <v>60</v>
      </c>
    </row>
  </sheetData>
  <conditionalFormatting sqref="H6:H19">
    <cfRule type="expression" priority="2" aboveAverage="0" equalAverage="0" bottom="0" percent="0" rank="0" text="" dxfId="3">
      <formula>$H6="Atteint"</formula>
    </cfRule>
    <cfRule type="expression" priority="3" aboveAverage="0" equalAverage="0" bottom="0" percent="0" rank="0" text="" dxfId="1">
      <formula>$H6="À surveiller"</formula>
    </cfRule>
    <cfRule type="expression" priority="4" aboveAverage="0" equalAverage="0" bottom="0" percent="0" rank="0" text="" dxfId="0">
      <formula>$H6="Hors cible"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&amp;C&amp;10 Multimédia Glory Guinée SARLU</oddHeader>
    <oddFooter>&amp;C&amp;9 Page &amp;P sur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6" min="5" style="0" width="20"/>
    <col collapsed="false" customWidth="true" hidden="false" outlineLevel="0" max="7" min="7" style="0" width="42"/>
    <col collapsed="false" customWidth="true" hidden="false" outlineLevel="0" max="8" min="8" style="0" width="20"/>
  </cols>
  <sheetData>
    <row r="1" customFormat="false" ht="25.5" hidden="false" customHeight="true" outlineLevel="0" collapsed="false">
      <c r="A1" s="2" t="s">
        <v>61</v>
      </c>
    </row>
    <row r="2" customFormat="false" ht="15" hidden="false" customHeight="false" outlineLevel="0" collapsed="false">
      <c r="A2" s="21" t="s">
        <v>62</v>
      </c>
    </row>
    <row r="3" customFormat="false" ht="15" hidden="false" customHeight="false" outlineLevel="0" collapsed="false">
      <c r="A3" s="20" t="s">
        <v>63</v>
      </c>
    </row>
    <row r="4" customFormat="false" ht="30" hidden="false" customHeight="true" outlineLevel="0" collapsed="false">
      <c r="A4" s="6" t="s">
        <v>64</v>
      </c>
      <c r="B4" s="6" t="s">
        <v>18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  <c r="H4" s="6" t="s">
        <v>70</v>
      </c>
    </row>
    <row r="5" customFormat="false" ht="15" hidden="false" customHeight="false" outlineLevel="0" collapsed="false">
      <c r="A5" s="34" t="s">
        <v>71</v>
      </c>
      <c r="B5" s="34" t="s">
        <v>22</v>
      </c>
      <c r="C5" s="34" t="s">
        <v>72</v>
      </c>
      <c r="D5" s="34"/>
      <c r="E5" s="34" t="s">
        <v>73</v>
      </c>
      <c r="F5" s="34" t="s">
        <v>73</v>
      </c>
      <c r="G5" s="34" t="s">
        <v>74</v>
      </c>
      <c r="H5" s="35" t="s">
        <v>11</v>
      </c>
    </row>
    <row r="6" customFormat="false" ht="15" hidden="false" customHeight="false" outlineLevel="0" collapsed="false">
      <c r="A6" s="34" t="s">
        <v>75</v>
      </c>
      <c r="B6" s="34" t="s">
        <v>22</v>
      </c>
      <c r="C6" s="34" t="s">
        <v>76</v>
      </c>
      <c r="D6" s="34" t="s">
        <v>77</v>
      </c>
      <c r="E6" s="34" t="s">
        <v>73</v>
      </c>
      <c r="F6" s="34" t="s">
        <v>73</v>
      </c>
      <c r="G6" s="34" t="s">
        <v>78</v>
      </c>
      <c r="H6" s="35" t="s">
        <v>11</v>
      </c>
    </row>
    <row r="7" customFormat="false" ht="15" hidden="false" customHeight="false" outlineLevel="0" collapsed="false">
      <c r="A7" s="34" t="s">
        <v>79</v>
      </c>
      <c r="B7" s="34" t="s">
        <v>22</v>
      </c>
      <c r="C7" s="34" t="s">
        <v>80</v>
      </c>
      <c r="D7" s="34"/>
      <c r="E7" s="34" t="s">
        <v>81</v>
      </c>
      <c r="F7" s="34" t="s">
        <v>82</v>
      </c>
      <c r="G7" s="34" t="s">
        <v>83</v>
      </c>
      <c r="H7" s="35" t="s">
        <v>12</v>
      </c>
    </row>
    <row r="8" customFormat="false" ht="15" hidden="false" customHeight="false" outlineLevel="0" collapsed="false">
      <c r="A8" s="34" t="s">
        <v>84</v>
      </c>
      <c r="B8" s="34" t="s">
        <v>22</v>
      </c>
      <c r="C8" s="34" t="s">
        <v>85</v>
      </c>
      <c r="D8" s="34" t="s">
        <v>86</v>
      </c>
      <c r="E8" s="34" t="s">
        <v>87</v>
      </c>
      <c r="F8" s="34" t="s">
        <v>87</v>
      </c>
      <c r="G8" s="34" t="s">
        <v>88</v>
      </c>
      <c r="H8" s="35" t="s">
        <v>11</v>
      </c>
    </row>
    <row r="9" customFormat="false" ht="15" hidden="false" customHeight="false" outlineLevel="0" collapsed="false">
      <c r="A9" s="34" t="s">
        <v>89</v>
      </c>
      <c r="B9" s="34" t="s">
        <v>23</v>
      </c>
      <c r="C9" s="34" t="s">
        <v>90</v>
      </c>
      <c r="D9" s="34"/>
      <c r="E9" s="34" t="s">
        <v>73</v>
      </c>
      <c r="F9" s="34" t="s">
        <v>73</v>
      </c>
      <c r="G9" s="34" t="s">
        <v>91</v>
      </c>
      <c r="H9" s="35" t="s">
        <v>12</v>
      </c>
    </row>
    <row r="10" customFormat="false" ht="15" hidden="false" customHeight="false" outlineLevel="0" collapsed="false">
      <c r="A10" s="34" t="s">
        <v>92</v>
      </c>
      <c r="B10" s="34" t="s">
        <v>23</v>
      </c>
      <c r="C10" s="34" t="s">
        <v>93</v>
      </c>
      <c r="D10" s="34"/>
      <c r="E10" s="34" t="s">
        <v>94</v>
      </c>
      <c r="F10" s="34" t="s">
        <v>82</v>
      </c>
      <c r="G10" s="34" t="s">
        <v>95</v>
      </c>
      <c r="H10" s="35" t="s">
        <v>11</v>
      </c>
    </row>
    <row r="11" customFormat="false" ht="15" hidden="false" customHeight="false" outlineLevel="0" collapsed="false">
      <c r="A11" s="34" t="s">
        <v>96</v>
      </c>
      <c r="B11" s="34" t="s">
        <v>23</v>
      </c>
      <c r="C11" s="34" t="s">
        <v>97</v>
      </c>
      <c r="D11" s="34"/>
      <c r="E11" s="34" t="s">
        <v>73</v>
      </c>
      <c r="F11" s="34" t="s">
        <v>73</v>
      </c>
      <c r="G11" s="34" t="s">
        <v>98</v>
      </c>
      <c r="H11" s="35" t="s">
        <v>11</v>
      </c>
    </row>
    <row r="12" customFormat="false" ht="15" hidden="false" customHeight="false" outlineLevel="0" collapsed="false">
      <c r="A12" s="34" t="s">
        <v>99</v>
      </c>
      <c r="B12" s="34" t="s">
        <v>24</v>
      </c>
      <c r="C12" s="34" t="s">
        <v>100</v>
      </c>
      <c r="D12" s="34" t="s">
        <v>101</v>
      </c>
      <c r="E12" s="34" t="s">
        <v>73</v>
      </c>
      <c r="F12" s="34" t="s">
        <v>73</v>
      </c>
      <c r="G12" s="34" t="s">
        <v>102</v>
      </c>
      <c r="H12" s="35" t="s">
        <v>11</v>
      </c>
    </row>
    <row r="13" customFormat="false" ht="15" hidden="false" customHeight="false" outlineLevel="0" collapsed="false">
      <c r="A13" s="34" t="s">
        <v>103</v>
      </c>
      <c r="B13" s="34" t="s">
        <v>24</v>
      </c>
      <c r="C13" s="34" t="s">
        <v>104</v>
      </c>
      <c r="D13" s="34"/>
      <c r="E13" s="34" t="s">
        <v>73</v>
      </c>
      <c r="F13" s="34" t="s">
        <v>73</v>
      </c>
      <c r="G13" s="34" t="s">
        <v>105</v>
      </c>
      <c r="H13" s="35" t="s">
        <v>12</v>
      </c>
    </row>
    <row r="14" customFormat="false" ht="15" hidden="false" customHeight="false" outlineLevel="0" collapsed="false">
      <c r="A14" s="34" t="s">
        <v>106</v>
      </c>
      <c r="B14" s="34" t="s">
        <v>24</v>
      </c>
      <c r="C14" s="34" t="s">
        <v>107</v>
      </c>
      <c r="D14" s="34"/>
      <c r="E14" s="34" t="s">
        <v>87</v>
      </c>
      <c r="F14" s="34" t="s">
        <v>87</v>
      </c>
      <c r="G14" s="34" t="s">
        <v>108</v>
      </c>
      <c r="H14" s="35" t="s">
        <v>14</v>
      </c>
    </row>
    <row r="15" customFormat="false" ht="15" hidden="false" customHeight="false" outlineLevel="0" collapsed="false">
      <c r="A15" s="34" t="s">
        <v>109</v>
      </c>
      <c r="B15" s="34" t="s">
        <v>25</v>
      </c>
      <c r="C15" s="34" t="s">
        <v>110</v>
      </c>
      <c r="D15" s="34"/>
      <c r="E15" s="34" t="s">
        <v>94</v>
      </c>
      <c r="F15" s="34" t="s">
        <v>82</v>
      </c>
      <c r="G15" s="34" t="s">
        <v>111</v>
      </c>
      <c r="H15" s="35" t="s">
        <v>11</v>
      </c>
    </row>
    <row r="16" customFormat="false" ht="15" hidden="false" customHeight="false" outlineLevel="0" collapsed="false">
      <c r="A16" s="34" t="s">
        <v>112</v>
      </c>
      <c r="B16" s="34" t="s">
        <v>25</v>
      </c>
      <c r="C16" s="34" t="s">
        <v>113</v>
      </c>
      <c r="D16" s="34"/>
      <c r="E16" s="34" t="s">
        <v>114</v>
      </c>
      <c r="F16" s="34" t="s">
        <v>82</v>
      </c>
      <c r="G16" s="34" t="s">
        <v>115</v>
      </c>
      <c r="H16" s="35" t="s">
        <v>13</v>
      </c>
    </row>
    <row r="17" customFormat="false" ht="15" hidden="false" customHeight="false" outlineLevel="0" collapsed="false">
      <c r="A17" s="34" t="s">
        <v>116</v>
      </c>
      <c r="B17" s="34" t="s">
        <v>25</v>
      </c>
      <c r="C17" s="34" t="s">
        <v>117</v>
      </c>
      <c r="D17" s="34"/>
      <c r="E17" s="34" t="s">
        <v>118</v>
      </c>
      <c r="F17" s="34" t="s">
        <v>118</v>
      </c>
      <c r="G17" s="34" t="s">
        <v>119</v>
      </c>
      <c r="H17" s="35" t="s">
        <v>14</v>
      </c>
    </row>
    <row r="18" customFormat="false" ht="15" hidden="false" customHeight="false" outlineLevel="0" collapsed="false">
      <c r="A18" s="34" t="s">
        <v>120</v>
      </c>
      <c r="B18" s="34" t="s">
        <v>26</v>
      </c>
      <c r="C18" s="34" t="s">
        <v>121</v>
      </c>
      <c r="D18" s="34"/>
      <c r="E18" s="34" t="s">
        <v>87</v>
      </c>
      <c r="F18" s="34" t="s">
        <v>87</v>
      </c>
      <c r="G18" s="34" t="s">
        <v>122</v>
      </c>
      <c r="H18" s="35" t="s">
        <v>13</v>
      </c>
    </row>
    <row r="19" customFormat="false" ht="15" hidden="false" customHeight="false" outlineLevel="0" collapsed="false">
      <c r="A19" s="34" t="s">
        <v>123</v>
      </c>
      <c r="B19" s="34" t="s">
        <v>26</v>
      </c>
      <c r="C19" s="34" t="s">
        <v>124</v>
      </c>
      <c r="D19" s="34"/>
      <c r="E19" s="34" t="s">
        <v>118</v>
      </c>
      <c r="F19" s="34" t="s">
        <v>118</v>
      </c>
      <c r="G19" s="34" t="s">
        <v>125</v>
      </c>
      <c r="H19" s="35" t="s">
        <v>11</v>
      </c>
    </row>
    <row r="20" customFormat="false" ht="15" hidden="false" customHeight="false" outlineLevel="0" collapsed="false">
      <c r="A20" s="34" t="s">
        <v>126</v>
      </c>
      <c r="B20" s="34" t="s">
        <v>26</v>
      </c>
      <c r="C20" s="34" t="s">
        <v>127</v>
      </c>
      <c r="D20" s="34"/>
      <c r="E20" s="34" t="s">
        <v>128</v>
      </c>
      <c r="F20" s="34" t="s">
        <v>128</v>
      </c>
      <c r="G20" s="34" t="s">
        <v>129</v>
      </c>
      <c r="H20" s="35" t="s">
        <v>11</v>
      </c>
    </row>
    <row r="21" customFormat="false" ht="15" hidden="false" customHeight="false" outlineLevel="0" collapsed="false">
      <c r="A21" s="34" t="s">
        <v>130</v>
      </c>
      <c r="B21" s="34" t="s">
        <v>26</v>
      </c>
      <c r="C21" s="34" t="s">
        <v>131</v>
      </c>
      <c r="D21" s="34"/>
      <c r="E21" s="34" t="s">
        <v>128</v>
      </c>
      <c r="F21" s="34" t="s">
        <v>128</v>
      </c>
      <c r="G21" s="34" t="s">
        <v>132</v>
      </c>
      <c r="H21" s="35" t="s">
        <v>11</v>
      </c>
    </row>
    <row r="22" customFormat="false" ht="15" hidden="false" customHeight="false" outlineLevel="0" collapsed="false">
      <c r="A22" s="34" t="s">
        <v>133</v>
      </c>
      <c r="B22" s="34" t="s">
        <v>27</v>
      </c>
      <c r="C22" s="34" t="s">
        <v>134</v>
      </c>
      <c r="D22" s="34"/>
      <c r="E22" s="34" t="s">
        <v>87</v>
      </c>
      <c r="F22" s="34" t="s">
        <v>87</v>
      </c>
      <c r="G22" s="34" t="s">
        <v>135</v>
      </c>
      <c r="H22" s="35" t="s">
        <v>11</v>
      </c>
    </row>
    <row r="23" customFormat="false" ht="15" hidden="false" customHeight="false" outlineLevel="0" collapsed="false">
      <c r="A23" s="34" t="s">
        <v>136</v>
      </c>
      <c r="B23" s="34" t="s">
        <v>27</v>
      </c>
      <c r="C23" s="34" t="s">
        <v>137</v>
      </c>
      <c r="D23" s="34"/>
      <c r="E23" s="34" t="s">
        <v>118</v>
      </c>
      <c r="F23" s="34" t="s">
        <v>118</v>
      </c>
      <c r="G23" s="34" t="s">
        <v>138</v>
      </c>
      <c r="H23" s="35" t="s">
        <v>12</v>
      </c>
    </row>
    <row r="24" customFormat="false" ht="15" hidden="false" customHeight="false" outlineLevel="0" collapsed="false">
      <c r="A24" s="34" t="s">
        <v>139</v>
      </c>
      <c r="B24" s="34" t="s">
        <v>27</v>
      </c>
      <c r="C24" s="34" t="s">
        <v>140</v>
      </c>
      <c r="D24" s="34"/>
      <c r="E24" s="34" t="s">
        <v>141</v>
      </c>
      <c r="F24" s="34" t="s">
        <v>82</v>
      </c>
      <c r="G24" s="34" t="s">
        <v>142</v>
      </c>
      <c r="H24" s="35" t="s">
        <v>14</v>
      </c>
    </row>
    <row r="25" customFormat="false" ht="15" hidden="false" customHeight="false" outlineLevel="0" collapsed="false">
      <c r="A25" s="34" t="s">
        <v>143</v>
      </c>
      <c r="B25" s="34" t="s">
        <v>27</v>
      </c>
      <c r="C25" s="34" t="s">
        <v>144</v>
      </c>
      <c r="D25" s="34"/>
      <c r="E25" s="34" t="s">
        <v>145</v>
      </c>
      <c r="F25" s="34" t="s">
        <v>82</v>
      </c>
      <c r="G25" s="34" t="s">
        <v>146</v>
      </c>
      <c r="H25" s="35" t="s">
        <v>14</v>
      </c>
    </row>
    <row r="27" customFormat="false" ht="15" hidden="false" customHeight="false" outlineLevel="0" collapsed="false">
      <c r="A27" s="20" t="s">
        <v>147</v>
      </c>
    </row>
  </sheetData>
  <autoFilter ref="A4:H25"/>
  <conditionalFormatting sqref="H5:H25">
    <cfRule type="expression" priority="2" aboveAverage="0" equalAverage="0" bottom="0" percent="0" rank="0" text="" dxfId="3">
      <formula>$H5="Fait"</formula>
    </cfRule>
    <cfRule type="expression" priority="3" aboveAverage="0" equalAverage="0" bottom="0" percent="0" rank="0" text="" dxfId="14">
      <formula>$H5="En cours"</formula>
    </cfRule>
    <cfRule type="expression" priority="4" aboveAverage="0" equalAverage="0" bottom="0" percent="0" rank="0" text="" dxfId="0">
      <formula>$H5="Bloquée"</formula>
    </cfRule>
    <cfRule type="expression" priority="5" aboveAverage="0" equalAverage="0" bottom="0" percent="0" rank="0" text="" dxfId="15">
      <formula>$H5="À faire"</formula>
    </cfRule>
  </conditionalFormatting>
  <dataValidations count="1">
    <dataValidation allowBlank="false" error="Choisissez : À faire, En cours, Fait ou Bloquée." errorStyle="stop" errorTitle="Statut" operator="between" showDropDown="false" showErrorMessage="true" showInputMessage="false" sqref="H5:H25" type="list">
      <formula1>"À faire,En cours,Fait,Bloquée"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&amp;C&amp;10 Multimédia Glory Guinée SARLU</oddHeader>
    <oddFooter>&amp;C&amp;9 Page &amp;P sur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62"/>
    <col collapsed="false" customWidth="true" hidden="false" outlineLevel="0" max="6" min="6" style="0" width="40"/>
    <col collapsed="false" customWidth="true" hidden="false" outlineLevel="0" max="7" min="7" style="0" width="56"/>
  </cols>
  <sheetData>
    <row r="1" customFormat="false" ht="25.5" hidden="false" customHeight="true" outlineLevel="0" collapsed="false">
      <c r="A1" s="2" t="s">
        <v>148</v>
      </c>
    </row>
    <row r="2" customFormat="false" ht="15" hidden="false" customHeight="false" outlineLevel="0" collapsed="false">
      <c r="A2" s="21" t="s">
        <v>149</v>
      </c>
    </row>
    <row r="3" customFormat="false" ht="15" hidden="false" customHeight="false" outlineLevel="0" collapsed="false">
      <c r="A3" s="20" t="s">
        <v>150</v>
      </c>
    </row>
    <row r="5" customFormat="false" ht="30" hidden="false" customHeight="true" outlineLevel="0" collapsed="false">
      <c r="A5" s="6" t="s">
        <v>65</v>
      </c>
      <c r="B5" s="6" t="s">
        <v>151</v>
      </c>
      <c r="C5" s="6" t="s">
        <v>152</v>
      </c>
      <c r="D5" s="6" t="s">
        <v>153</v>
      </c>
      <c r="E5" s="6" t="s">
        <v>154</v>
      </c>
      <c r="F5" s="6" t="s">
        <v>155</v>
      </c>
      <c r="G5" s="6" t="s">
        <v>156</v>
      </c>
    </row>
    <row r="6" customFormat="false" ht="46.25" hidden="false" customHeight="false" outlineLevel="0" collapsed="false">
      <c r="A6" s="36" t="s">
        <v>72</v>
      </c>
      <c r="B6" s="37" t="s">
        <v>71</v>
      </c>
      <c r="C6" s="34" t="str">
        <f aca="false">IF(B6="","Rôle du poste",IFERROR(INDEX(Missions!$B$5:$B$25,MATCH(B6,Missions!$A$5:$A$25,0)),"ID inconnu"))</f>
        <v>Réception et planification</v>
      </c>
      <c r="D6" s="34" t="s">
        <v>157</v>
      </c>
      <c r="E6" s="34" t="s">
        <v>158</v>
      </c>
      <c r="F6" s="34" t="s">
        <v>159</v>
      </c>
      <c r="G6" s="34" t="s">
        <v>160</v>
      </c>
    </row>
    <row r="7" customFormat="false" ht="35.05" hidden="false" customHeight="false" outlineLevel="0" collapsed="false">
      <c r="A7" s="36" t="s">
        <v>76</v>
      </c>
      <c r="B7" s="37" t="s">
        <v>75</v>
      </c>
      <c r="C7" s="34" t="str">
        <f aca="false">IF(B7="","Rôle du poste",IFERROR(INDEX(Missions!$B$5:$B$25,MATCH(B7,Missions!$A$5:$A$25,0)),"ID inconnu"))</f>
        <v>Réception et planification</v>
      </c>
      <c r="D7" s="34" t="s">
        <v>161</v>
      </c>
      <c r="E7" s="34" t="s">
        <v>162</v>
      </c>
      <c r="F7" s="34" t="s">
        <v>163</v>
      </c>
      <c r="G7" s="34" t="s">
        <v>164</v>
      </c>
    </row>
    <row r="8" customFormat="false" ht="35.05" hidden="false" customHeight="false" outlineLevel="0" collapsed="false">
      <c r="A8" s="36" t="s">
        <v>80</v>
      </c>
      <c r="B8" s="37" t="s">
        <v>79</v>
      </c>
      <c r="C8" s="34" t="str">
        <f aca="false">IF(B8="","Rôle du poste",IFERROR(INDEX(Missions!$B$5:$B$25,MATCH(B8,Missions!$A$5:$A$25,0)),"ID inconnu"))</f>
        <v>Réception et planification</v>
      </c>
      <c r="D8" s="34" t="s">
        <v>165</v>
      </c>
      <c r="E8" s="34" t="s">
        <v>166</v>
      </c>
      <c r="F8" s="34" t="s">
        <v>167</v>
      </c>
      <c r="G8" s="34" t="s">
        <v>168</v>
      </c>
    </row>
    <row r="9" customFormat="false" ht="35.05" hidden="false" customHeight="false" outlineLevel="0" collapsed="false">
      <c r="A9" s="36" t="s">
        <v>85</v>
      </c>
      <c r="B9" s="37" t="s">
        <v>84</v>
      </c>
      <c r="C9" s="34" t="str">
        <f aca="false">IF(B9="","Rôle du poste",IFERROR(INDEX(Missions!$B$5:$B$25,MATCH(B9,Missions!$A$5:$A$25,0)),"ID inconnu"))</f>
        <v>Réception et planification</v>
      </c>
      <c r="D9" s="34" t="s">
        <v>169</v>
      </c>
      <c r="E9" s="34" t="s">
        <v>170</v>
      </c>
      <c r="F9" s="34" t="s">
        <v>171</v>
      </c>
      <c r="G9" s="34"/>
    </row>
    <row r="10" customFormat="false" ht="57.45" hidden="false" customHeight="false" outlineLevel="0" collapsed="false">
      <c r="A10" s="36" t="s">
        <v>90</v>
      </c>
      <c r="B10" s="37" t="s">
        <v>89</v>
      </c>
      <c r="C10" s="34" t="str">
        <f aca="false">IF(B10="","Rôle du poste",IFERROR(INDEX(Missions!$B$5:$B$25,MATCH(B10,Missions!$A$5:$A$25,0)),"ID inconnu"))</f>
        <v>Personnalisation des cartes</v>
      </c>
      <c r="D10" s="34" t="s">
        <v>172</v>
      </c>
      <c r="E10" s="34" t="s">
        <v>173</v>
      </c>
      <c r="F10" s="34" t="s">
        <v>174</v>
      </c>
      <c r="G10" s="34" t="s">
        <v>175</v>
      </c>
    </row>
    <row r="11" customFormat="false" ht="46.25" hidden="false" customHeight="false" outlineLevel="0" collapsed="false">
      <c r="A11" s="36" t="s">
        <v>93</v>
      </c>
      <c r="B11" s="37" t="s">
        <v>92</v>
      </c>
      <c r="C11" s="34" t="str">
        <f aca="false">IF(B11="","Rôle du poste",IFERROR(INDEX(Missions!$B$5:$B$25,MATCH(B11,Missions!$A$5:$A$25,0)),"ID inconnu"))</f>
        <v>Personnalisation des cartes</v>
      </c>
      <c r="D11" s="34" t="s">
        <v>176</v>
      </c>
      <c r="E11" s="34" t="s">
        <v>177</v>
      </c>
      <c r="F11" s="34" t="s">
        <v>178</v>
      </c>
      <c r="G11" s="34"/>
    </row>
    <row r="12" customFormat="false" ht="46.25" hidden="false" customHeight="false" outlineLevel="0" collapsed="false">
      <c r="A12" s="36" t="s">
        <v>97</v>
      </c>
      <c r="B12" s="37" t="s">
        <v>96</v>
      </c>
      <c r="C12" s="34" t="str">
        <f aca="false">IF(B12="","Rôle du poste",IFERROR(INDEX(Missions!$B$5:$B$25,MATCH(B12,Missions!$A$5:$A$25,0)),"ID inconnu"))</f>
        <v>Personnalisation des cartes</v>
      </c>
      <c r="D12" s="34" t="s">
        <v>179</v>
      </c>
      <c r="E12" s="34" t="s">
        <v>180</v>
      </c>
      <c r="F12" s="34" t="s">
        <v>181</v>
      </c>
      <c r="G12" s="34" t="s">
        <v>182</v>
      </c>
    </row>
    <row r="13" customFormat="false" ht="46.25" hidden="false" customHeight="false" outlineLevel="0" collapsed="false">
      <c r="A13" s="36" t="s">
        <v>100</v>
      </c>
      <c r="B13" s="37" t="s">
        <v>99</v>
      </c>
      <c r="C13" s="34" t="str">
        <f aca="false">IF(B13="","Rôle du poste",IFERROR(INDEX(Missions!$B$5:$B$25,MATCH(B13,Missions!$A$5:$A$25,0)),"ID inconnu"))</f>
        <v>Contrôle qualité</v>
      </c>
      <c r="D13" s="34" t="s">
        <v>183</v>
      </c>
      <c r="E13" s="34" t="s">
        <v>184</v>
      </c>
      <c r="F13" s="34" t="s">
        <v>185</v>
      </c>
      <c r="G13" s="34"/>
    </row>
    <row r="14" customFormat="false" ht="46.25" hidden="false" customHeight="false" outlineLevel="0" collapsed="false">
      <c r="A14" s="36" t="s">
        <v>104</v>
      </c>
      <c r="B14" s="37" t="s">
        <v>103</v>
      </c>
      <c r="C14" s="34" t="str">
        <f aca="false">IF(B14="","Rôle du poste",IFERROR(INDEX(Missions!$B$5:$B$25,MATCH(B14,Missions!$A$5:$A$25,0)),"ID inconnu"))</f>
        <v>Contrôle qualité</v>
      </c>
      <c r="D14" s="34" t="s">
        <v>186</v>
      </c>
      <c r="E14" s="34" t="s">
        <v>187</v>
      </c>
      <c r="F14" s="34" t="s">
        <v>188</v>
      </c>
      <c r="G14" s="34" t="s">
        <v>189</v>
      </c>
    </row>
    <row r="15" customFormat="false" ht="35.05" hidden="false" customHeight="false" outlineLevel="0" collapsed="false">
      <c r="A15" s="36" t="s">
        <v>107</v>
      </c>
      <c r="B15" s="37" t="s">
        <v>106</v>
      </c>
      <c r="C15" s="34" t="str">
        <f aca="false">IF(B15="","Rôle du poste",IFERROR(INDEX(Missions!$B$5:$B$25,MATCH(B15,Missions!$A$5:$A$25,0)),"ID inconnu"))</f>
        <v>Contrôle qualité</v>
      </c>
      <c r="D15" s="34" t="s">
        <v>190</v>
      </c>
      <c r="E15" s="34" t="s">
        <v>191</v>
      </c>
      <c r="F15" s="34" t="s">
        <v>192</v>
      </c>
      <c r="G15" s="34"/>
    </row>
    <row r="16" customFormat="false" ht="35.05" hidden="false" customHeight="false" outlineLevel="0" collapsed="false">
      <c r="A16" s="36" t="s">
        <v>110</v>
      </c>
      <c r="B16" s="37" t="s">
        <v>109</v>
      </c>
      <c r="C16" s="34" t="str">
        <f aca="false">IF(B16="","Rôle du poste",IFERROR(INDEX(Missions!$B$5:$B$25,MATCH(B16,Missions!$A$5:$A$25,0)),"ID inconnu"))</f>
        <v>Expédition et remise</v>
      </c>
      <c r="D16" s="34" t="s">
        <v>193</v>
      </c>
      <c r="E16" s="34" t="s">
        <v>194</v>
      </c>
      <c r="F16" s="34" t="s">
        <v>195</v>
      </c>
      <c r="G16" s="34"/>
    </row>
    <row r="17" customFormat="false" ht="35.05" hidden="false" customHeight="false" outlineLevel="0" collapsed="false">
      <c r="A17" s="36" t="s">
        <v>113</v>
      </c>
      <c r="B17" s="37" t="s">
        <v>112</v>
      </c>
      <c r="C17" s="34" t="str">
        <f aca="false">IF(B17="","Rôle du poste",IFERROR(INDEX(Missions!$B$5:$B$25,MATCH(B17,Missions!$A$5:$A$25,0)),"ID inconnu"))</f>
        <v>Expédition et remise</v>
      </c>
      <c r="D17" s="34" t="s">
        <v>196</v>
      </c>
      <c r="E17" s="34" t="s">
        <v>197</v>
      </c>
      <c r="F17" s="34" t="s">
        <v>198</v>
      </c>
      <c r="G17" s="34"/>
    </row>
    <row r="18" customFormat="false" ht="35.05" hidden="false" customHeight="false" outlineLevel="0" collapsed="false">
      <c r="A18" s="36" t="s">
        <v>117</v>
      </c>
      <c r="B18" s="37" t="s">
        <v>116</v>
      </c>
      <c r="C18" s="34" t="str">
        <f aca="false">IF(B18="","Rôle du poste",IFERROR(INDEX(Missions!$B$5:$B$25,MATCH(B18,Missions!$A$5:$A$25,0)),"ID inconnu"))</f>
        <v>Expédition et remise</v>
      </c>
      <c r="D18" s="34" t="s">
        <v>199</v>
      </c>
      <c r="E18" s="34" t="s">
        <v>200</v>
      </c>
      <c r="F18" s="34" t="s">
        <v>201</v>
      </c>
      <c r="G18" s="34" t="s">
        <v>202</v>
      </c>
    </row>
    <row r="19" customFormat="false" ht="35.05" hidden="false" customHeight="false" outlineLevel="0" collapsed="false">
      <c r="A19" s="36" t="s">
        <v>121</v>
      </c>
      <c r="B19" s="37" t="s">
        <v>120</v>
      </c>
      <c r="C19" s="34" t="str">
        <f aca="false">IF(B19="","Rôle du poste",IFERROR(INDEX(Missions!$B$5:$B$25,MATCH(B19,Missions!$A$5:$A$25,0)),"ID inconnu"))</f>
        <v>Équipements, stocks et sécurité</v>
      </c>
      <c r="D19" s="34" t="s">
        <v>203</v>
      </c>
      <c r="E19" s="34" t="s">
        <v>204</v>
      </c>
      <c r="F19" s="34" t="s">
        <v>205</v>
      </c>
      <c r="G19" s="34" t="s">
        <v>206</v>
      </c>
    </row>
    <row r="20" customFormat="false" ht="35.05" hidden="false" customHeight="false" outlineLevel="0" collapsed="false">
      <c r="A20" s="36" t="s">
        <v>124</v>
      </c>
      <c r="B20" s="37" t="s">
        <v>123</v>
      </c>
      <c r="C20" s="34" t="str">
        <f aca="false">IF(B20="","Rôle du poste",IFERROR(INDEX(Missions!$B$5:$B$25,MATCH(B20,Missions!$A$5:$A$25,0)),"ID inconnu"))</f>
        <v>Équipements, stocks et sécurité</v>
      </c>
      <c r="D20" s="34" t="s">
        <v>207</v>
      </c>
      <c r="E20" s="34" t="s">
        <v>208</v>
      </c>
      <c r="F20" s="34" t="s">
        <v>209</v>
      </c>
      <c r="G20" s="34"/>
    </row>
    <row r="21" customFormat="false" ht="57.45" hidden="false" customHeight="false" outlineLevel="0" collapsed="false">
      <c r="A21" s="36" t="s">
        <v>127</v>
      </c>
      <c r="B21" s="37" t="s">
        <v>126</v>
      </c>
      <c r="C21" s="34" t="str">
        <f aca="false">IF(B21="","Rôle du poste",IFERROR(INDEX(Missions!$B$5:$B$25,MATCH(B21,Missions!$A$5:$A$25,0)),"ID inconnu"))</f>
        <v>Équipements, stocks et sécurité</v>
      </c>
      <c r="D21" s="34" t="s">
        <v>210</v>
      </c>
      <c r="E21" s="34" t="s">
        <v>211</v>
      </c>
      <c r="F21" s="34" t="s">
        <v>212</v>
      </c>
      <c r="G21" s="34"/>
    </row>
    <row r="22" customFormat="false" ht="35.05" hidden="false" customHeight="false" outlineLevel="0" collapsed="false">
      <c r="A22" s="36" t="s">
        <v>131</v>
      </c>
      <c r="B22" s="37" t="s">
        <v>130</v>
      </c>
      <c r="C22" s="34" t="str">
        <f aca="false">IF(B22="","Rôle du poste",IFERROR(INDEX(Missions!$B$5:$B$25,MATCH(B22,Missions!$A$5:$A$25,0)),"ID inconnu"))</f>
        <v>Équipements, stocks et sécurité</v>
      </c>
      <c r="D22" s="34" t="s">
        <v>213</v>
      </c>
      <c r="E22" s="34" t="s">
        <v>214</v>
      </c>
      <c r="F22" s="34" t="s">
        <v>215</v>
      </c>
      <c r="G22" s="34" t="s">
        <v>216</v>
      </c>
    </row>
    <row r="23" customFormat="false" ht="35.05" hidden="false" customHeight="false" outlineLevel="0" collapsed="false">
      <c r="A23" s="36" t="s">
        <v>134</v>
      </c>
      <c r="B23" s="37" t="s">
        <v>133</v>
      </c>
      <c r="C23" s="34" t="str">
        <f aca="false">IF(B23="","Rôle du poste",IFERROR(INDEX(Missions!$B$5:$B$25,MATCH(B23,Missions!$A$5:$A$25,0)),"ID inconnu"))</f>
        <v>Pilotage et reporting</v>
      </c>
      <c r="D23" s="34" t="s">
        <v>217</v>
      </c>
      <c r="E23" s="34" t="s">
        <v>218</v>
      </c>
      <c r="F23" s="34" t="s">
        <v>219</v>
      </c>
      <c r="G23" s="34"/>
    </row>
    <row r="24" customFormat="false" ht="46.25" hidden="false" customHeight="false" outlineLevel="0" collapsed="false">
      <c r="A24" s="36" t="s">
        <v>137</v>
      </c>
      <c r="B24" s="37" t="s">
        <v>136</v>
      </c>
      <c r="C24" s="34" t="str">
        <f aca="false">IF(B24="","Rôle du poste",IFERROR(INDEX(Missions!$B$5:$B$25,MATCH(B24,Missions!$A$5:$A$25,0)),"ID inconnu"))</f>
        <v>Pilotage et reporting</v>
      </c>
      <c r="D24" s="34" t="s">
        <v>220</v>
      </c>
      <c r="E24" s="34" t="s">
        <v>221</v>
      </c>
      <c r="F24" s="34" t="s">
        <v>222</v>
      </c>
      <c r="G24" s="34"/>
    </row>
    <row r="25" customFormat="false" ht="35.05" hidden="false" customHeight="false" outlineLevel="0" collapsed="false">
      <c r="A25" s="36" t="s">
        <v>140</v>
      </c>
      <c r="B25" s="37" t="s">
        <v>139</v>
      </c>
      <c r="C25" s="34" t="str">
        <f aca="false">IF(B25="","Rôle du poste",IFERROR(INDEX(Missions!$B$5:$B$25,MATCH(B25,Missions!$A$5:$A$25,0)),"ID inconnu"))</f>
        <v>Pilotage et reporting</v>
      </c>
      <c r="D25" s="34" t="s">
        <v>223</v>
      </c>
      <c r="E25" s="34" t="s">
        <v>224</v>
      </c>
      <c r="F25" s="34" t="s">
        <v>225</v>
      </c>
      <c r="G25" s="34"/>
    </row>
    <row r="26" customFormat="false" ht="35.05" hidden="false" customHeight="false" outlineLevel="0" collapsed="false">
      <c r="A26" s="36" t="s">
        <v>144</v>
      </c>
      <c r="B26" s="37" t="s">
        <v>143</v>
      </c>
      <c r="C26" s="34" t="str">
        <f aca="false">IF(B26="","Rôle du poste",IFERROR(INDEX(Missions!$B$5:$B$25,MATCH(B26,Missions!$A$5:$A$25,0)),"ID inconnu"))</f>
        <v>Pilotage et reporting</v>
      </c>
      <c r="D26" s="34" t="s">
        <v>226</v>
      </c>
      <c r="E26" s="34" t="s">
        <v>227</v>
      </c>
      <c r="F26" s="34" t="s">
        <v>228</v>
      </c>
      <c r="G26" s="34" t="s">
        <v>229</v>
      </c>
    </row>
    <row r="28" customFormat="false" ht="15" hidden="false" customHeight="false" outlineLevel="0" collapsed="false">
      <c r="A28" s="4" t="s">
        <v>230</v>
      </c>
      <c r="B28" s="5"/>
      <c r="C28" s="5"/>
      <c r="D28" s="5"/>
      <c r="E28" s="5"/>
      <c r="F28" s="5"/>
      <c r="G28" s="5"/>
    </row>
    <row r="29" customFormat="false" ht="15" hidden="false" customHeight="false" outlineLevel="0" collapsed="false">
      <c r="A29" s="22" t="s">
        <v>231</v>
      </c>
      <c r="B29" s="38" t="s">
        <v>232</v>
      </c>
    </row>
    <row r="30" customFormat="false" ht="15" hidden="false" customHeight="false" outlineLevel="0" collapsed="false">
      <c r="A30" s="22" t="s">
        <v>233</v>
      </c>
      <c r="B30" s="38" t="s">
        <v>234</v>
      </c>
    </row>
    <row r="31" customFormat="false" ht="15" hidden="false" customHeight="false" outlineLevel="0" collapsed="false">
      <c r="A31" s="22" t="s">
        <v>235</v>
      </c>
      <c r="B31" s="38" t="s">
        <v>236</v>
      </c>
    </row>
    <row r="32" customFormat="false" ht="15" hidden="false" customHeight="false" outlineLevel="0" collapsed="false">
      <c r="A32" s="22" t="s">
        <v>237</v>
      </c>
      <c r="B32" s="38" t="s">
        <v>238</v>
      </c>
    </row>
    <row r="33" customFormat="false" ht="15" hidden="false" customHeight="false" outlineLevel="0" collapsed="false">
      <c r="A33" s="22" t="s">
        <v>239</v>
      </c>
      <c r="B33" s="38" t="s">
        <v>240</v>
      </c>
    </row>
    <row r="34" customFormat="false" ht="15" hidden="false" customHeight="false" outlineLevel="0" collapsed="false">
      <c r="A34" s="22" t="s">
        <v>241</v>
      </c>
      <c r="B34" s="38" t="s">
        <v>242</v>
      </c>
    </row>
    <row r="35" customFormat="false" ht="15" hidden="false" customHeight="false" outlineLevel="0" collapsed="false">
      <c r="A35" s="22" t="s">
        <v>243</v>
      </c>
      <c r="B35" s="38" t="s">
        <v>244</v>
      </c>
    </row>
    <row r="36" customFormat="false" ht="15" hidden="false" customHeight="false" outlineLevel="0" collapsed="false">
      <c r="A36" s="22" t="s">
        <v>245</v>
      </c>
      <c r="B36" s="38" t="s">
        <v>246</v>
      </c>
    </row>
    <row r="37" customFormat="false" ht="15" hidden="false" customHeight="false" outlineLevel="0" collapsed="false">
      <c r="A37" s="22" t="s">
        <v>247</v>
      </c>
      <c r="B37" s="38" t="s">
        <v>248</v>
      </c>
    </row>
    <row r="39" customFormat="false" ht="15" hidden="false" customHeight="false" outlineLevel="0" collapsed="false">
      <c r="A39" s="4" t="s">
        <v>249</v>
      </c>
      <c r="B39" s="5"/>
      <c r="C39" s="5"/>
      <c r="D39" s="5"/>
      <c r="E39" s="5"/>
      <c r="F39" s="5"/>
      <c r="G39" s="5"/>
    </row>
    <row r="40" customFormat="false" ht="15" hidden="false" customHeight="false" outlineLevel="0" collapsed="false">
      <c r="A40" s="39" t="s">
        <v>250</v>
      </c>
    </row>
    <row r="41" customFormat="false" ht="15" hidden="false" customHeight="false" outlineLevel="0" collapsed="false">
      <c r="A41" s="39" t="s">
        <v>251</v>
      </c>
    </row>
    <row r="42" customFormat="false" ht="15" hidden="false" customHeight="false" outlineLevel="0" collapsed="false">
      <c r="A42" s="39" t="s">
        <v>252</v>
      </c>
    </row>
    <row r="43" customFormat="false" ht="15" hidden="false" customHeight="false" outlineLevel="0" collapsed="false">
      <c r="A43" s="39" t="s">
        <v>253</v>
      </c>
    </row>
  </sheetData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&amp;C&amp;10 Multimédia Glory Guinée SARLU</oddHeader>
    <oddFooter>&amp;C&amp;9 Page &amp;P sur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2026-10-31T18:11:20Z</dcterms:created>
  <dc:creator>openpyxl</dc:creator>
  <dc:description/>
  <dc:language>en-US</dc:language>
  <cp:lastModifiedBy/>
  <dcterms:modified xsi:type="dcterms:W3CDTF">2026-10-31T18:11:24Z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