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  <sheet name="Indicateurs" sheetId="2" state="visible" r:id="rId4"/>
    <sheet name="Missions" sheetId="3" state="visible" r:id="rId5"/>
    <sheet name="Termes de référence" sheetId="4" state="visible" r:id="rId6"/>
  </sheets>
  <definedNames>
    <definedName function="false" hidden="true" localSheetId="2" name="_xlnm._FilterDatabase" vbProcedure="false">Missions!$A$4:$H$21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<sst xmlns="http://schemas.openxmlformats.org/spreadsheetml/2006/main" count="345" uniqueCount="228">
  <si>
    <t xml:space="preserve">Multimédia Glory Guinée SARLU</t>
  </si>
  <si>
    <t xml:space="preserve">Tableau de bord — Responsable administratif</t>
  </si>
  <si>
    <t xml:space="preserve">Chiffres d’exemple : remplacez les cellules jaunes des feuilles Indicateurs et Missions par vos données. Tout le reste se calcule.</t>
  </si>
  <si>
    <t xml:space="preserve">SYNTHÈSE</t>
  </si>
  <si>
    <t xml:space="preserve">Atteint</t>
  </si>
  <si>
    <t xml:space="preserve">À surveiller</t>
  </si>
  <si>
    <t xml:space="preserve">Hors cible</t>
  </si>
  <si>
    <t xml:space="preserve">À renseigner</t>
  </si>
  <si>
    <t xml:space="preserve">Total</t>
  </si>
  <si>
    <t xml:space="preserve">Part atteinte</t>
  </si>
  <si>
    <t xml:space="preserve">Indicateurs</t>
  </si>
  <si>
    <t xml:space="preserve">Fait</t>
  </si>
  <si>
    <t xml:space="preserve">En cours</t>
  </si>
  <si>
    <t xml:space="preserve">Bloquée</t>
  </si>
  <si>
    <t xml:space="preserve">À faire</t>
  </si>
  <si>
    <t xml:space="preserve">Part faite</t>
  </si>
  <si>
    <t xml:space="preserve">Missions de la période</t>
  </si>
  <si>
    <t xml:space="preserve">PAR DOMAINE</t>
  </si>
  <si>
    <t xml:space="preserve">Domaine</t>
  </si>
  <si>
    <t xml:space="preserve">Missions</t>
  </si>
  <si>
    <t xml:space="preserve">Indicateurs hors cible</t>
  </si>
  <si>
    <t xml:space="preserve">Indicateurs à surveiller</t>
  </si>
  <si>
    <t xml:space="preserve">Gestion administrative</t>
  </si>
  <si>
    <t xml:space="preserve">Conventions, avenants et contrats</t>
  </si>
  <si>
    <t xml:space="preserve">Relations avec les partenaires</t>
  </si>
  <si>
    <t xml:space="preserve">Contrôle et suivi financier</t>
  </si>
  <si>
    <t xml:space="preserve">Pilotage de l’équipe</t>
  </si>
  <si>
    <t xml:space="preserve">Demandes de la Direction</t>
  </si>
  <si>
    <t xml:space="preserve">Hypothèses : rythmes, indicateurs, cibles et marges sont des propositions à valider. Les statuts et chiffres affichés au départ sont des exemples.</t>
  </si>
  <si>
    <t xml:space="preserve">Multimédia Glory Guinée SARLU — Indicateurs de pilotage</t>
  </si>
  <si>
    <t xml:space="preserve">Saisissez la cible et le réalisé (cellules jaunes) : l’écart et l’état se calculent seuls. Chiffres actuels : exemples.</t>
  </si>
  <si>
    <t xml:space="preserve">Seuil « À surveiller » (cibles à atteindre ≥)</t>
  </si>
  <si>
    <t xml:space="preserve">Part minimale de la cible pour rester « À surveiller » (hypothèse proposée, modifiable)</t>
  </si>
  <si>
    <t xml:space="preserve">Indicateur</t>
  </si>
  <si>
    <t xml:space="preserve">Sens</t>
  </si>
  <si>
    <t xml:space="preserve">Marge « à surveiller » (plafonds seulement)</t>
  </si>
  <si>
    <t xml:space="preserve">Cible</t>
  </si>
  <si>
    <t xml:space="preserve">Réalisé</t>
  </si>
  <si>
    <t xml:space="preserve">Écart</t>
  </si>
  <si>
    <t xml:space="preserve">État</t>
  </si>
  <si>
    <t xml:space="preserve">Dossiers traités dans les délais</t>
  </si>
  <si>
    <t xml:space="preserve">≥</t>
  </si>
  <si>
    <t xml:space="preserve">Courriers et dossiers en retard</t>
  </si>
  <si>
    <t xml:space="preserve">≤</t>
  </si>
  <si>
    <t xml:space="preserve">Conventions saisies dans le suivi</t>
  </si>
  <si>
    <t xml:space="preserve">Documents échus sans suite</t>
  </si>
  <si>
    <t xml:space="preserve">Envois complets du premier coup</t>
  </si>
  <si>
    <t xml:space="preserve">Demandes de partenaires sans réponse</t>
  </si>
  <si>
    <t xml:space="preserve">Anomalies de saisie non corrigées</t>
  </si>
  <si>
    <t xml:space="preserve">Justificatifs classés</t>
  </si>
  <si>
    <t xml:space="preserve">Règlements en retard</t>
  </si>
  <si>
    <t xml:space="preserve">Objectifs de l’équipe atteints</t>
  </si>
  <si>
    <t xml:space="preserve">Demandes de la Direction traitées dans les délais</t>
  </si>
  <si>
    <t xml:space="preserve">Lecture :</t>
  </si>
  <si>
    <t xml:space="preserve">• Sens ≥ : la cible est un minimum. Atteint si le réalisé la respecte ; À surveiller si le réalisé atteint au moins le seuil ci-dessus (C3) de la cible ; sinon Hors cible.</t>
  </si>
  <si>
    <t xml:space="preserve">• Sens ≤ : la cible est un plafond (retards, anomalies…). Atteint si le réalisé reste sous le plafond ; À surveiller jusqu’à la marge de la colonne D au-dessus ; sinon Hors cible.</t>
  </si>
  <si>
    <t xml:space="preserve">• Les pourcentages sont saisis en % (92 % ou 0,92). L’écart des pourcentages se lit en points.</t>
  </si>
  <si>
    <t xml:space="preserve">• Cibles, marges et chiffres réalisés sont des exemples proposés : remplacez-les par vos objectifs réels.</t>
  </si>
  <si>
    <t xml:space="preserve">Multimédia Glory Guinée SARLU — Missions du responsable administratif</t>
  </si>
  <si>
    <t xml:space="preserve">Choisissez le statut de la période dans la colonne H (liste déroulante). Statuts actuels : exemples.</t>
  </si>
  <si>
    <t xml:space="preserve">Rythmes et indicateurs associés : propositions à adapter. Seules les missions et le rythme mensuel de la saisie et des tableaux de bord viennent des termes de référence.</t>
  </si>
  <si>
    <t xml:space="preserve">ID</t>
  </si>
  <si>
    <t xml:space="preserve">Mission</t>
  </si>
  <si>
    <t xml:space="preserve">Détail</t>
  </si>
  <si>
    <t xml:space="preserve">Rythme *</t>
  </si>
  <si>
    <t xml:space="preserve">Catégorie de rythme</t>
  </si>
  <si>
    <t xml:space="preserve">Indicateur associé *</t>
  </si>
  <si>
    <t xml:space="preserve">Statut de la période</t>
  </si>
  <si>
    <t xml:space="preserve">g1</t>
  </si>
  <si>
    <t xml:space="preserve">Assurer la bonne gestion administrative de l’entreprise</t>
  </si>
  <si>
    <t xml:space="preserve">Continu</t>
  </si>
  <si>
    <t xml:space="preserve">Dossiers et courriers en retard (nombre)</t>
  </si>
  <si>
    <t xml:space="preserve">g2</t>
  </si>
  <si>
    <t xml:space="preserve">Traiter les dossiers administratifs</t>
  </si>
  <si>
    <t xml:space="preserve">Prise de rendez-vous, rédaction du courrier, classement des dossiers, saisie de documents ou du budget</t>
  </si>
  <si>
    <t xml:space="preserve">Quotidien</t>
  </si>
  <si>
    <t xml:space="preserve">Dossiers traités dans les délais (%)</t>
  </si>
  <si>
    <t xml:space="preserve">c1</t>
  </si>
  <si>
    <t xml:space="preserve">Assurer la bonne gestion des conventions, des avenants et des contrats</t>
  </si>
  <si>
    <t xml:space="preserve">Documents échus sans suite (nombre)</t>
  </si>
  <si>
    <t xml:space="preserve">c2</t>
  </si>
  <si>
    <t xml:space="preserve">Enregistrer et conserver les conventions, les avenants et les contrats</t>
  </si>
  <si>
    <t xml:space="preserve">À chaque signature</t>
  </si>
  <si>
    <t xml:space="preserve">À chaque événement</t>
  </si>
  <si>
    <t xml:space="preserve">Documents archivés sur documents signés (%)</t>
  </si>
  <si>
    <t xml:space="preserve">c3</t>
  </si>
  <si>
    <t xml:space="preserve">Saisir les conventions pour leur suivi</t>
  </si>
  <si>
    <t xml:space="preserve">À chaque convention</t>
  </si>
  <si>
    <t xml:space="preserve">Conventions saisies dans le suivi (%)</t>
  </si>
  <si>
    <t xml:space="preserve">p1</t>
  </si>
  <si>
    <t xml:space="preserve">Assurer les relations administratives avec les différents partenaires</t>
  </si>
  <si>
    <t xml:space="preserve">Demandes sans réponse (nombre)</t>
  </si>
  <si>
    <t xml:space="preserve">p2</t>
  </si>
  <si>
    <t xml:space="preserve">Recenser les documents à transmettre</t>
  </si>
  <si>
    <t xml:space="preserve">Protocole, émargements, conventions…</t>
  </si>
  <si>
    <t xml:space="preserve">Mensuel</t>
  </si>
  <si>
    <t xml:space="preserve">Documents recensés sur documents attendus (%)</t>
  </si>
  <si>
    <t xml:space="preserve">p3</t>
  </si>
  <si>
    <t xml:space="preserve">Contrôler l’ensemble des pièces avant envoi</t>
  </si>
  <si>
    <t xml:space="preserve">Avant chaque envoi</t>
  </si>
  <si>
    <t xml:space="preserve">Envois complets du premier coup (%)</t>
  </si>
  <si>
    <t xml:space="preserve">k1</t>
  </si>
  <si>
    <t xml:space="preserve">Contrôler les différents documents administratifs</t>
  </si>
  <si>
    <t xml:space="preserve">Hebdomadaire</t>
  </si>
  <si>
    <t xml:space="preserve">Documents non conformes relevés (nombre)</t>
  </si>
  <si>
    <t xml:space="preserve">k2</t>
  </si>
  <si>
    <t xml:space="preserve">Vérifier la saisie mensuelle</t>
  </si>
  <si>
    <t xml:space="preserve">Anomalies, cohérence des plannings</t>
  </si>
  <si>
    <t xml:space="preserve">Anomalies de saisie non corrigées (nombre)</t>
  </si>
  <si>
    <t xml:space="preserve">k3</t>
  </si>
  <si>
    <t xml:space="preserve">Classer les documents justificatifs</t>
  </si>
  <si>
    <t xml:space="preserve">Justificatifs classés (%)</t>
  </si>
  <si>
    <t xml:space="preserve">k4</t>
  </si>
  <si>
    <t xml:space="preserve">Établir les tableaux de bord mensuels</t>
  </si>
  <si>
    <t xml:space="preserve">En lien avec le cadre intermédiaire financier</t>
  </si>
  <si>
    <t xml:space="preserve">Tableau remis dans les délais (oui / non)</t>
  </si>
  <si>
    <t xml:space="preserve">k5</t>
  </si>
  <si>
    <t xml:space="preserve">Suivre les règlements</t>
  </si>
  <si>
    <t xml:space="preserve">Règlements en retard (nombre)</t>
  </si>
  <si>
    <t xml:space="preserve">e1</t>
  </si>
  <si>
    <t xml:space="preserve">Piloter l’équipe administrative</t>
  </si>
  <si>
    <t xml:space="preserve">Objectifs de l’équipe atteints (%)</t>
  </si>
  <si>
    <t xml:space="preserve">e2</t>
  </si>
  <si>
    <t xml:space="preserve">Veiller au bon fonctionnement de l’équipe</t>
  </si>
  <si>
    <t xml:space="preserve">Points de blocage ouverts (nombre)</t>
  </si>
  <si>
    <t xml:space="preserve">e3</t>
  </si>
  <si>
    <t xml:space="preserve">Coordonner le travail auprès de ses collaborateurs</t>
  </si>
  <si>
    <t xml:space="preserve">Tâches réparties et suivies (%)</t>
  </si>
  <si>
    <t xml:space="preserve">d1</t>
  </si>
  <si>
    <t xml:space="preserve">Accomplir toutes autres tâches confiées par le Directeur Général</t>
  </si>
  <si>
    <t xml:space="preserve">Sur demande</t>
  </si>
  <si>
    <t xml:space="preserve">Demandes traitées dans les délais (%)</t>
  </si>
  <si>
    <t xml:space="preserve">Une mission récurrente n’est jamais « terminée » : « Fait » veut dire fait pour la période en cours. À chaque nouvelle période, remettez la colonne H sur « À faire ».</t>
  </si>
  <si>
    <t xml:space="preserve">Multimédia Glory Guinée SARLU — Termes de référence expliqués — Responsable administratif</t>
  </si>
  <si>
    <t xml:space="preserve">Texte du document d’origine (orthographe corrigée), puis explication simple de chaque ligne. La colonne C indique où la ligne est suivie dans le classeur.</t>
  </si>
  <si>
    <t xml:space="preserve">Quand le texte dit « assurer », « veiller » ou « piloter », le responsable répond du résultat, même s’il ne fait pas tout lui-même. Quand il dit « saisir », « classer » ou « enregistrer », c’est une tâche qu’il fait lui-même.</t>
  </si>
  <si>
    <t xml:space="preserve">Fonction (texte du document)</t>
  </si>
  <si>
    <t xml:space="preserve">Mission suivie (ID)</t>
  </si>
  <si>
    <t xml:space="preserve">Domaine suivi</t>
  </si>
  <si>
    <t xml:space="preserve">En simple</t>
  </si>
  <si>
    <t xml:space="preserve">Concrètement</t>
  </si>
  <si>
    <t xml:space="preserve">C’est bien fait quand</t>
  </si>
  <si>
    <t xml:space="preserve">À savoir</t>
  </si>
  <si>
    <t xml:space="preserve">Faire en sorte que l’administration fonctionne bien au quotidien : à jour, organisée, sans retard.</t>
  </si>
  <si>
    <t xml:space="preserve">• Fixer des règles claires : qui fait quoi, où ranger, quels délais.
• Repérer ce qui traîne et le corriger.</t>
  </si>
  <si>
    <t xml:space="preserve">Il y a peu de retards et on retrouve vite n’importe quel dossier.</t>
  </si>
  <si>
    <t xml:space="preserve">S’assurer qu’aucun accord n’est perdu, oublié ou expiré sans que personne ne s’en aperçoive.</t>
  </si>
  <si>
    <t xml:space="preserve">• Tenir la liste de tous les accords : partenaire, dates de début et de fin, montant.
• Prévenir la direction avant chaque échéance.
• Préparer les renouvellements et les avenants.</t>
  </si>
  <si>
    <t xml:space="preserve">Aucun document n’arrive à échéance sans qu’une décision ait été prise.</t>
  </si>
  <si>
    <t xml:space="preserve">Lexique : Convention : accord écrit avec un partenaire. Contrat : accord qui engage l’entreprise. Avenant : document qui modifie un accord existant.</t>
  </si>
  <si>
    <t xml:space="preserve">Garder une trace officielle et en sécurité de chaque accord.</t>
  </si>
  <si>
    <t xml:space="preserve">• Enregistrer : noter l’accord dans un registre (numéro, date, partenaire).
• Conserver : archiver la version signée, en papier et en scan, bien rangée et sauvegardée.</t>
  </si>
  <si>
    <t xml:space="preserve">On retrouve un contrat signé en quelques minutes.</t>
  </si>
  <si>
    <t xml:space="preserve">Être l’interlocuteur administratif des partenaires, pas celui qui négocie les accords.</t>
  </si>
  <si>
    <t xml:space="preserve">• Répondre à leurs demandes et leur envoyer les documents.
• Relancer quand il manque quelque chose.
• Garder une trace des échanges.</t>
  </si>
  <si>
    <t xml:space="preserve">Aucune demande de partenaire ne reste sans réponse.</t>
  </si>
  <si>
    <t xml:space="preserve">Recenser les documents à transmettre (protocole, émargements, conventions, …)</t>
  </si>
  <si>
    <t xml:space="preserve">Faire la liste de tout ce qu’il faut envoyer à chaque partenaire, et vérifier qu’on l’a bien.</t>
  </si>
  <si>
    <t xml:space="preserve">• Comparer ce qui est attendu avec ce qui est reçu.
• Relancer les documents manquants.</t>
  </si>
  <si>
    <t xml:space="preserve">La liste est complète et rien n’est oublié au moment d’envoyer.</t>
  </si>
  <si>
    <t xml:space="preserve">Lexique : Protocole : document qui fixe les règles de collaboration. Émargements : feuilles de présence signées par les personnes présentes à une séance, une formation ou une activité.</t>
  </si>
  <si>
    <t xml:space="preserve">Copier les informations clés de chaque convention dans le fichier ou le logiciel de suivi.</t>
  </si>
  <si>
    <t xml:space="preserve">• Noter les dates, les montants et ce que chaque partie doit fournir.
• C’est ce qui permet de savoir à tout moment où en est chaque convention.</t>
  </si>
  <si>
    <t xml:space="preserve">Toutes les conventions sont dans l’outil de suivi, avec des informations exactes.</t>
  </si>
  <si>
    <t xml:space="preserve">À ne pas confondre : Différence avec « Enregistrer et conserver » : l’enregistrement sert à archiver, la saisie sert à suivre.</t>
  </si>
  <si>
    <t xml:space="preserve">C’est la dernière vérification avant de transmettre un dossier.</t>
  </si>
  <si>
    <t xml:space="preserve">• Vérifier que tout est présent, signé et lisible.
• Vérifier que les noms, les dates et les montants sont justes.
• Une pièce manquante peut bloquer un paiement ou retarder un dossier.</t>
  </si>
  <si>
    <t xml:space="preserve">Les dossiers sont acceptés du premier coup, sans demande de complément.</t>
  </si>
  <si>
    <t xml:space="preserve">Relire les documents pour s’assurer qu’ils sont corrects et conformes.</t>
  </si>
  <si>
    <t xml:space="preserve">• Vérifier les signatures, les dates et les mentions obligatoires.
• Vérifier que les documents ne se contredisent pas entre eux.</t>
  </si>
  <si>
    <t xml:space="preserve">Peu d’erreurs passent entre les mailles.</t>
  </si>
  <si>
    <t xml:space="preserve">Vérifier la saisie mensuelle (anomalie, cohérence des plannings)</t>
  </si>
  <si>
    <t xml:space="preserve">Chaque mois, relire ce qui a été saisi pour repérer les erreurs.</t>
  </si>
  <si>
    <t xml:space="preserve">• Une anomalie est une erreur, un doublon, un oubli ou un montant qui paraît étrange.
• La cohérence des plannings veut dire que les horaires, les présences et les affectations correspondent à la réalité : une personne ne peut pas être à deux endroits à la fois.
• Cette saisie sert souvent à payer ou à facturer, d’où l’importance de la vérifier.</t>
  </si>
  <si>
    <t xml:space="preserve">Les anomalies sont trouvées et corrigées avant la clôture du mois.</t>
  </si>
  <si>
    <t xml:space="preserve">Ranger les preuves : factures, reçus, feuilles de présence, bons de commande.</t>
  </si>
  <si>
    <t xml:space="preserve">• Adopter une méthode simple (par mois, par partenaire ou par type) et s’y tenir.
• Cela permet de justifier un chiffre en cas de question ou de contrôle.</t>
  </si>
  <si>
    <t xml:space="preserve">Chaque chiffre important a sa preuve, facile à retrouver.</t>
  </si>
  <si>
    <t xml:space="preserve">Établir les tableaux de bord mensuels en lien avec le cadre intermédiaire financier</t>
  </si>
  <si>
    <t xml:space="preserve">Produire chaque mois une synthèse chiffrée de l’activité administrative. C’est ce que permet le tableau de bord du responsable administratif.</t>
  </si>
  <si>
    <t xml:space="preserve">• Récupérer les chiffres auprès du responsable financier.
• Les mettre en forme et les comparer aux objectifs.
• Les présenter à la direction.</t>
  </si>
  <si>
    <t xml:space="preserve">Le tableau est prêt à date fixe et la direction s’en sert pour décider.</t>
  </si>
  <si>
    <t xml:space="preserve">À confirmer : « Cadre intermédiaire financier » désigne probablement le responsable financier de niveau intermédiaire. À confirmer avec le Directeur Général.</t>
  </si>
  <si>
    <t xml:space="preserve">Suivre les paiements.</t>
  </si>
  <si>
    <t xml:space="preserve">• Vérifier ce qui a été payé et ce qui ne l’est pas encore.
• Repérer les retards, relancer ou alerter la direction.</t>
  </si>
  <si>
    <t xml:space="preserve">Aucun retard de paiement ne passe inaperçu.</t>
  </si>
  <si>
    <t xml:space="preserve">À confirmer : À préciser : cela concerne-t-il les paiements reçus des partenaires, ceux que l’entreprise doit payer, ou les deux ?</t>
  </si>
  <si>
    <t xml:space="preserve">Diriger l’équipe.</t>
  </si>
  <si>
    <t xml:space="preserve">• Fixer les objectifs et les priorités.
• Répartir le travail.
• Faire un point régulier et suivre les résultats.</t>
  </si>
  <si>
    <t xml:space="preserve">L’équipe sait ce qu’on attend d’elle et atteint ses objectifs.</t>
  </si>
  <si>
    <t xml:space="preserve">S’assurer que l’équipe peut travailler dans de bonnes conditions.</t>
  </si>
  <si>
    <t xml:space="preserve">• Donner les outils et les consignes.
• Résoudre les blocages.
• Prévoir un remplacement en cas d’absence.
• Garder une bonne ambiance de travail.</t>
  </si>
  <si>
    <t xml:space="preserve">Peu de blocages restent ouverts et le travail continue même en cas d’absence.</t>
  </si>
  <si>
    <t xml:space="preserve">Faire en sorte que chacun sache quoi faire, et quand.</t>
  </si>
  <si>
    <t xml:space="preserve">• Transmettre les demandes de la direction.
• Éviter qu’une tâche soit faite deux fois ou oubliée.
• Faire circuler l’information.</t>
  </si>
  <si>
    <t xml:space="preserve">Les tâches s’enchaînent sans doublon ni oubli.</t>
  </si>
  <si>
    <t xml:space="preserve">Chargé de la gestion administrative</t>
  </si>
  <si>
    <t xml:space="preserve">C’est l’intitulé du rôle : cette personne tient l’administration de l’entreprise en ordre.</t>
  </si>
  <si>
    <t xml:space="preserve">• Les dossiers, les courriers, les contrats et les rendez-vous passent par elle, ou sous son contrôle.</t>
  </si>
  <si>
    <t xml:space="preserve">Personne ne cherche un document et aucune échéance n’est ratée.</t>
  </si>
  <si>
    <t xml:space="preserve">Effectue le traitement administratif de dossiers (prise de rendez-vous, rédaction du courrier, classement des dossiers, saisie de documents ou du budget).</t>
  </si>
  <si>
    <t xml:space="preserve">C’est le travail courant, avec cinq tâches précises.</t>
  </si>
  <si>
    <t xml:space="preserve">• Prendre les rendez-vous et tenir l’agenda.
• Rédiger les courriers et les réponses officielles.
• Classer les dossiers, en papier et en numérique.
• Saisir les documents dans les fichiers de l’entreprise.
• Saisir le budget : entrer les montants prévus et dépensés.</t>
  </si>
  <si>
    <t xml:space="preserve">Le courrier part à temps et le budget est à jour.</t>
  </si>
  <si>
    <t xml:space="preserve">Accomplir toutes autres tâches qui lui seront confiées par le Directeur Général</t>
  </si>
  <si>
    <t xml:space="preserve">C’est une clause ouverte : le Directeur Général peut ajouter des tâches liées au poste.</t>
  </si>
  <si>
    <t xml:space="preserve">• Noter chaque demande : date, contenu, échéance.
• Cela évite les oublis et permet de montrer ce qui a été fait.</t>
  </si>
  <si>
    <t xml:space="preserve">Les demandes sont traitées dans les délais.</t>
  </si>
  <si>
    <t xml:space="preserve">Conseil : Pour une tâche importante ou inhabituelle, demandez une confirmation écrite. Cette clause couvre normalement des tâches cohérentes avec le poste ; les limites exactes dépendent du contrat de travail.</t>
  </si>
  <si>
    <t xml:space="preserve">PETIT LEXIQUE</t>
  </si>
  <si>
    <t xml:space="preserve">Convention</t>
  </si>
  <si>
    <t xml:space="preserve">Accord écrit avec un partenaire : qui fait quoi, pendant combien de temps, à quelles conditions.</t>
  </si>
  <si>
    <t xml:space="preserve">Contrat</t>
  </si>
  <si>
    <t xml:space="preserve">Accord qui engage l’entreprise, avec un client, un fournisseur ou un salarié.</t>
  </si>
  <si>
    <t xml:space="preserve">Avenant</t>
  </si>
  <si>
    <t xml:space="preserve">Document qui modifie un accord existant (durée, montant, date) sans tout refaire.</t>
  </si>
  <si>
    <t xml:space="preserve">Protocole</t>
  </si>
  <si>
    <t xml:space="preserve">Document qui fixe les règles de collaboration avec un partenaire.</t>
  </si>
  <si>
    <t xml:space="preserve">Émargement</t>
  </si>
  <si>
    <t xml:space="preserve">Feuille de présence signée par les personnes présentes à une séance, une formation ou une activité.</t>
  </si>
  <si>
    <t xml:space="preserve">Justificatif</t>
  </si>
  <si>
    <t xml:space="preserve">Preuve d’une dépense ou d’une activité : facture, reçu, bon de commande, feuille de présence.</t>
  </si>
  <si>
    <t xml:space="preserve">Anomalie</t>
  </si>
  <si>
    <t xml:space="preserve">Erreur, doublon, oubli ou montant qui paraît étrange dans une saisie.</t>
  </si>
  <si>
    <t xml:space="preserve">À CLARIFIER AVEC LE DIRECTEUR GÉNÉRAL</t>
  </si>
  <si>
    <t xml:space="preserve">1. Qui est exactement le « cadre intermédiaire financier » (ligne « Établir les tableaux de bord mensuels ») ?</t>
  </si>
  <si>
    <t xml:space="preserve">2. Que recouvre « règlements » (ligne « Suivre les règlements ») : les encaissements, les paiements, ou les deux ?</t>
  </si>
  <si>
    <t xml:space="preserve">3. Quelles sont les limites de la dernière clause (« toutes autres tâches confiées par le Directeur Général ») ?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</si>
</sst>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%"/>
    <numFmt numFmtId="167" formatCode="0.0%"/>
    <numFmt numFmtId="168" formatCode="\+0.0%;\-0.0%;0.0%"/>
    <numFmt numFmtId="169" formatCode="0"/>
    <numFmt numFmtId="170" formatCode="\+0;\-0;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B429D"/>
      <name val="Arial"/>
      <family val="0"/>
      <charset val="1"/>
    </font>
    <font>
      <b val="true"/>
      <sz val="16"/>
      <color rgb="FF1B429D"/>
      <name val="Arial"/>
      <family val="0"/>
      <charset val="1"/>
    </font>
    <font>
      <sz val="9"/>
      <color rgb="FF5664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664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566478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56647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3E9F7"/>
        <bgColor rgb="FFDCE2EB"/>
      </patternFill>
    </fill>
    <fill>
      <patternFill patternType="solid">
        <fgColor rgb="FF1B429D"/>
        <bgColor rgb="FF003366"/>
      </patternFill>
    </fill>
    <fill>
      <patternFill patternType="solid">
        <fgColor rgb="FF1C7A4B"/>
        <bgColor rgb="FF008080"/>
      </patternFill>
    </fill>
    <fill>
      <patternFill patternType="solid">
        <fgColor rgb="FF8F5200"/>
        <bgColor rgb="FFB3261E"/>
      </patternFill>
    </fill>
    <fill>
      <patternFill patternType="solid">
        <fgColor rgb="FFB3261E"/>
        <bgColor rgb="FF993366"/>
      </patternFill>
    </fill>
    <fill>
      <patternFill patternType="solid">
        <fgColor rgb="FF566478"/>
        <bgColor rgb="FF4F81BD"/>
      </patternFill>
    </fill>
    <fill>
      <patternFill patternType="solid">
        <fgColor rgb="FFF2F5F9"/>
        <bgColor rgb="FFEEF1F5"/>
      </patternFill>
    </fill>
    <fill>
      <patternFill patternType="solid">
        <fgColor rgb="FFFFF4C2"/>
        <bgColor rgb="FFFDF0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2EB"/>
      </left>
      <right style="thin">
        <color rgb="FFDCE2EB"/>
      </right>
      <top style="thin">
        <color rgb="FFDCE2EB"/>
      </top>
      <bottom style="thin">
        <color rgb="FFDCE2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3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ont>
        <name val="Arial"/>
        <charset val="1"/>
        <family val="0"/>
        <b val="1"/>
        <color rgb="FFB3261E"/>
      </font>
      <fill>
        <patternFill>
          <bgColor rgb="FFFBE7E5"/>
        </patternFill>
      </fill>
    </dxf>
    <dxf>
      <font>
        <name val="Arial"/>
        <charset val="1"/>
        <family val="0"/>
        <b val="1"/>
        <color rgb="FF8F5200"/>
      </font>
      <fill>
        <patternFill>
          <bgColor rgb="FFFDF0D5"/>
        </patternFill>
      </fill>
    </dxf>
    <dxf>
      <font>
        <name val="Arial"/>
        <charset val="1"/>
        <family val="0"/>
        <b val="1"/>
        <color rgb="FFB3261E"/>
      </font>
    </dxf>
    <dxf>
      <font>
        <name val="Arial"/>
        <charset val="1"/>
        <family val="0"/>
        <b val="1"/>
        <color rgb="FF1C7A4B"/>
      </font>
      <fill>
        <patternFill>
          <bgColor rgb="FFE1F3E8"/>
        </patternFill>
      </fill>
    </dxf>
    <dxf>
      <fill>
        <patternFill patternType="solid">
          <fgColor rgb="FF1B429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1F3E8"/>
          <bgColor rgb="FF000000"/>
        </patternFill>
      </fill>
    </dxf>
    <dxf>
      <fill>
        <patternFill patternType="solid">
          <fgColor rgb="FFE3E9F7"/>
          <bgColor rgb="FF000000"/>
        </patternFill>
      </fill>
    </dxf>
    <dxf>
      <fill>
        <patternFill patternType="solid">
          <fgColor rgb="FFEEF1F5"/>
          <bgColor rgb="FF000000"/>
        </patternFill>
      </fill>
    </dxf>
    <dxf>
      <fill>
        <patternFill patternType="solid">
          <fgColor rgb="FFFBE7E5"/>
          <bgColor rgb="FF000000"/>
        </patternFill>
      </fill>
    </dxf>
    <dxf>
      <fill>
        <patternFill patternType="solid">
          <fgColor rgb="FF1C7A4B"/>
          <bgColor rgb="FF000000"/>
        </patternFill>
      </fill>
    </dxf>
    <dxf>
      <fill>
        <patternFill patternType="solid">
          <fgColor rgb="FF566478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ont>
        <name val="Arial"/>
        <charset val="1"/>
        <family val="0"/>
        <b val="1"/>
        <color rgb="FF1B429D"/>
      </font>
      <fill>
        <patternFill>
          <bgColor rgb="FFE3E9F7"/>
        </patternFill>
      </fill>
    </dxf>
    <dxf>
      <font>
        <name val="Arial"/>
        <charset val="1"/>
        <family val="0"/>
        <b val="1"/>
        <color rgb="FF566478"/>
      </font>
      <fill>
        <patternFill>
          <bgColor rgb="FFEEF1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F5200"/>
      <rgbColor rgb="FF800080"/>
      <rgbColor rgb="FF1C7A4B"/>
      <rgbColor rgb="FFD9D9D9"/>
      <rgbColor rgb="FF878787"/>
      <rgbColor rgb="FF9999FF"/>
      <rgbColor rgb="FF993366"/>
      <rgbColor rgb="FFFFF4C2"/>
      <rgbColor rgb="FFE1F3E8"/>
      <rgbColor rgb="FF660066"/>
      <rgbColor rgb="FFFF8080"/>
      <rgbColor rgb="FF0066CC"/>
      <rgbColor rgb="FFC9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9F7"/>
      <rgbColor rgb="FFEEF1F5"/>
      <rgbColor rgb="FFFDF0D5"/>
      <rgbColor rgb="FFDCE2EB"/>
      <rgbColor rgb="FFF2F5F9"/>
      <rgbColor rgb="FFCC99FF"/>
      <rgbColor rgb="FFFBE7E5"/>
      <rgbColor rgb="FF4F81BD"/>
      <rgbColor rgb="FF33CCCC"/>
      <rgbColor rgb="FF99CC00"/>
      <rgbColor rgb="FFFFCC00"/>
      <rgbColor rgb="FFE0A02A"/>
      <rgbColor rgb="FFFF6600"/>
      <rgbColor rgb="FF566478"/>
      <rgbColor rgb="FF8A96A8"/>
      <rgbColor rgb="FF003366"/>
      <rgbColor rgb="FF339966"/>
      <rgbColor rgb="FF003300"/>
      <rgbColor rgb="FF333300"/>
      <rgbColor rgb="FFB3261E"/>
      <rgbColor rgb="FF993366"/>
      <rgbColor rgb="FF1B429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Missions par domaine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'Tableau de bord'!C11</c:f>
              <c:strCache>
                <c:ptCount val="1"/>
                <c:pt idx="0">
                  <c:v>Fait</c:v>
                </c:pt>
              </c:strCache>
            </c:strRef>
          </c:tx>
          <c:spPr>
            <a:solidFill>
              <a:srgbClr val="1c7a4b"/>
            </a:solidFill>
            <a:ln w="0">
              <a:solidFill>
                <a:srgbClr val="1c7a4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bord'!$A$12:$A$17</c:f>
              <c:strCache>
                <c:ptCount val="6"/>
                <c:pt idx="0">
                  <c:v>Gestion administrative</c:v>
                </c:pt>
                <c:pt idx="1">
                  <c:v>Conventions, avenants et contrats</c:v>
                </c:pt>
                <c:pt idx="2">
                  <c:v>Relations avec les partenaires</c:v>
                </c:pt>
                <c:pt idx="3">
                  <c:v>Contrôle et suivi financier</c:v>
                </c:pt>
                <c:pt idx="4">
                  <c:v>Pilotage de l’équipe</c:v>
                </c:pt>
                <c:pt idx="5">
                  <c:v>Demandes de la Direction</c:v>
                </c:pt>
              </c:strCache>
            </c:strRef>
          </c:cat>
          <c:val>
            <c:numRef>
              <c:f>'Tableau de bord'!$C$12:$C$17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'Tableau de bord'!D11</c:f>
              <c:strCache>
                <c:ptCount val="1"/>
                <c:pt idx="0">
                  <c:v>En cours</c:v>
                </c:pt>
              </c:strCache>
            </c:strRef>
          </c:tx>
          <c:spPr>
            <a:solidFill>
              <a:srgbClr val="1b429d"/>
            </a:solidFill>
            <a:ln w="0">
              <a:solidFill>
                <a:srgbClr val="1b429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bord'!$A$12:$A$17</c:f>
              <c:strCache>
                <c:ptCount val="6"/>
                <c:pt idx="0">
                  <c:v>Gestion administrative</c:v>
                </c:pt>
                <c:pt idx="1">
                  <c:v>Conventions, avenants et contrats</c:v>
                </c:pt>
                <c:pt idx="2">
                  <c:v>Relations avec les partenaires</c:v>
                </c:pt>
                <c:pt idx="3">
                  <c:v>Contrôle et suivi financier</c:v>
                </c:pt>
                <c:pt idx="4">
                  <c:v>Pilotage de l’équipe</c:v>
                </c:pt>
                <c:pt idx="5">
                  <c:v>Demandes de la Direction</c:v>
                </c:pt>
              </c:strCache>
            </c:strRef>
          </c:cat>
          <c:val>
            <c:numRef>
              <c:f>'Tableau de bord'!$D$12:$D$17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</c:ser>
        <c:ser>
          <c:idx val="2"/>
          <c:order val="2"/>
          <c:tx>
            <c:strRef>
              <c:f>'Tableau de bord'!E11</c:f>
              <c:strCache>
                <c:ptCount val="1"/>
                <c:pt idx="0">
                  <c:v>Bloquée</c:v>
                </c:pt>
              </c:strCache>
            </c:strRef>
          </c:tx>
          <c:spPr>
            <a:solidFill>
              <a:srgbClr val="b3261e"/>
            </a:solidFill>
            <a:ln w="0">
              <a:solidFill>
                <a:srgbClr val="b3261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bord'!$A$12:$A$17</c:f>
              <c:strCache>
                <c:ptCount val="6"/>
                <c:pt idx="0">
                  <c:v>Gestion administrative</c:v>
                </c:pt>
                <c:pt idx="1">
                  <c:v>Conventions, avenants et contrats</c:v>
                </c:pt>
                <c:pt idx="2">
                  <c:v>Relations avec les partenaires</c:v>
                </c:pt>
                <c:pt idx="3">
                  <c:v>Contrôle et suivi financier</c:v>
                </c:pt>
                <c:pt idx="4">
                  <c:v>Pilotage de l’équipe</c:v>
                </c:pt>
                <c:pt idx="5">
                  <c:v>Demandes de la Direction</c:v>
                </c:pt>
              </c:strCache>
            </c:strRef>
          </c:cat>
          <c:val>
            <c:numRef>
              <c:f>'Tableau de bord'!$E$12:$E$17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'Tableau de bord'!F11</c:f>
              <c:strCache>
                <c:ptCount val="1"/>
                <c:pt idx="0">
                  <c:v>À faire</c:v>
                </c:pt>
              </c:strCache>
            </c:strRef>
          </c:tx>
          <c:spPr>
            <a:solidFill>
              <a:srgbClr val="c9d1dc"/>
            </a:solidFill>
            <a:ln w="0">
              <a:solidFill>
                <a:srgbClr val="c9d1d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bord'!$A$12:$A$17</c:f>
              <c:strCache>
                <c:ptCount val="6"/>
                <c:pt idx="0">
                  <c:v>Gestion administrative</c:v>
                </c:pt>
                <c:pt idx="1">
                  <c:v>Conventions, avenants et contrats</c:v>
                </c:pt>
                <c:pt idx="2">
                  <c:v>Relations avec les partenaires</c:v>
                </c:pt>
                <c:pt idx="3">
                  <c:v>Contrôle et suivi financier</c:v>
                </c:pt>
                <c:pt idx="4">
                  <c:v>Pilotage de l’équipe</c:v>
                </c:pt>
                <c:pt idx="5">
                  <c:v>Demandes de la Direction</c:v>
                </c:pt>
              </c:strCache>
            </c:strRef>
          </c:cat>
          <c:val>
            <c:numRef>
              <c:f>'Tableau de bord'!$F$12:$F$17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74589961"/>
        <c:axId val="11667807"/>
      </c:barChart>
      <c:catAx>
        <c:axId val="7458996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67807"/>
        <c:crosses val="autoZero"/>
        <c:auto val="1"/>
        <c:lblAlgn val="ctr"/>
        <c:lblOffset val="100"/>
        <c:noMultiLvlLbl val="0"/>
      </c:catAx>
      <c:valAx>
        <c:axId val="11667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899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État des indicateurs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c7a4b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0a02a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b3261e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8a96a8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bord'!$B$5:$E$5</c:f>
              <c:strCache>
                <c:ptCount val="4"/>
                <c:pt idx="0">
                  <c:v>Atteint</c:v>
                </c:pt>
                <c:pt idx="1">
                  <c:v>À surveiller</c:v>
                </c:pt>
                <c:pt idx="2">
                  <c:v>Hors cible</c:v>
                </c:pt>
                <c:pt idx="3">
                  <c:v>À renseigner</c:v>
                </c:pt>
              </c:strCache>
            </c:strRef>
          </c:cat>
          <c:val>
            <c:numRef>
              <c:f>'Tableau de bord'!$B$6:$E$6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48134109"/>
        <c:axId val="96045634"/>
      </c:barChart>
      <c:catAx>
        <c:axId val="481341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045634"/>
        <c:crosses val="autoZero"/>
        <c:auto val="1"/>
        <c:lblAlgn val="ctr"/>
        <c:lblOffset val="100"/>
        <c:noMultiLvlLbl val="0"/>
      </c:catAx>
      <c:valAx>
        <c:axId val="9604563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341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4</xdr:col>
      <xdr:colOff>42840</xdr:colOff>
      <xdr:row>36</xdr:row>
      <xdr:rowOff>11520</xdr:rowOff>
    </xdr:to>
    <xdr:graphicFrame>
      <xdr:nvGraphicFramePr>
        <xdr:cNvPr id="0" name="Chart 1"/>
        <xdr:cNvGraphicFramePr/>
      </xdr:nvGraphicFramePr>
      <xdr:xfrm>
        <a:off x="0" y="51721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20</xdr:row>
      <xdr:rowOff>0</xdr:rowOff>
    </xdr:from>
    <xdr:to>
      <xdr:col>8</xdr:col>
      <xdr:colOff>231480</xdr:colOff>
      <xdr:row>36</xdr:row>
      <xdr:rowOff>11520</xdr:rowOff>
    </xdr:to>
    <xdr:graphicFrame>
      <xdr:nvGraphicFramePr>
        <xdr:cNvPr id="1" name="Chart 2"/>
        <xdr:cNvGraphicFramePr/>
      </xdr:nvGraphicFramePr>
      <xdr:xfrm>
        <a:off x="5356800" y="517212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742680</xdr:colOff>
      <xdr:row>2</xdr:row>
      <xdr:rowOff>161640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8317080" y="0"/>
          <a:ext cx="74268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29D"/>
    <pageSetUpPr fitToPage="true"/>
  </sheetPr>
  <dimension ref="A1:I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4"/>
    <col collapsed="false" customWidth="true" hidden="false" outlineLevel="0" max="9" min="8" style="0" width="16"/>
  </cols>
  <sheetData>
    <row r="1" customFormat="false" ht="18" hidden="false" customHeight="tru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</row>
    <row r="3" customFormat="false" ht="18" hidden="false" customHeight="tru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B4" s="5"/>
      <c r="C4" s="5"/>
      <c r="D4" s="5"/>
      <c r="E4" s="5"/>
      <c r="F4" s="5"/>
      <c r="G4" s="5"/>
      <c r="H4" s="5"/>
      <c r="I4" s="5"/>
    </row>
    <row r="5" customFormat="false" ht="30" hidden="false" customHeight="true" outlineLevel="0" collapsed="false">
      <c r="A5" s="6"/>
      <c r="B5" s="7" t="s">
        <v>4</v>
      </c>
      <c r="C5" s="8" t="s">
        <v>5</v>
      </c>
      <c r="D5" s="9" t="s">
        <v>6</v>
      </c>
      <c r="E5" s="10" t="s">
        <v>7</v>
      </c>
      <c r="F5" s="6" t="s">
        <v>8</v>
      </c>
      <c r="G5" s="6" t="s">
        <v>9</v>
      </c>
    </row>
    <row r="6" customFormat="false" ht="30" hidden="false" customHeight="true" outlineLevel="0" collapsed="false">
      <c r="A6" s="11" t="s">
        <v>10</v>
      </c>
      <c r="B6" s="12" t="n">
        <f aca="false">COUNTIF(Indicateurs!$H$6:$H$16,B$5)</f>
        <v>5</v>
      </c>
      <c r="C6" s="12" t="n">
        <f aca="false">COUNTIF(Indicateurs!$H$6:$H$16,C$5)</f>
        <v>4</v>
      </c>
      <c r="D6" s="12" t="n">
        <f aca="false">COUNTIF(Indicateurs!$H$6:$H$16,D$5)</f>
        <v>2</v>
      </c>
      <c r="E6" s="12" t="n">
        <f aca="false">COUNTIF(Indicateurs!$H$6:$H$16,E$5)</f>
        <v>0</v>
      </c>
      <c r="F6" s="12" t="n">
        <f aca="false">SUM(B6:E6)</f>
        <v>11</v>
      </c>
      <c r="G6" s="13" t="n">
        <f aca="false">IF(F6=0,0,B6/F6)</f>
        <v>0.454545454545455</v>
      </c>
    </row>
    <row r="7" customFormat="false" ht="30" hidden="false" customHeight="true" outlineLevel="0" collapsed="false">
      <c r="A7" s="6"/>
      <c r="B7" s="7" t="s">
        <v>11</v>
      </c>
      <c r="C7" s="6" t="s">
        <v>12</v>
      </c>
      <c r="D7" s="9" t="s">
        <v>13</v>
      </c>
      <c r="E7" s="10" t="s">
        <v>14</v>
      </c>
      <c r="F7" s="6" t="s">
        <v>8</v>
      </c>
      <c r="G7" s="6" t="s">
        <v>15</v>
      </c>
    </row>
    <row r="8" customFormat="false" ht="30" hidden="false" customHeight="true" outlineLevel="0" collapsed="false">
      <c r="A8" s="11" t="s">
        <v>16</v>
      </c>
      <c r="B8" s="12" t="n">
        <f aca="false">COUNTIF(Missions!$H$5:$H$21,B$7)</f>
        <v>8</v>
      </c>
      <c r="C8" s="12" t="n">
        <f aca="false">COUNTIF(Missions!$H$5:$H$21,C$7)</f>
        <v>4</v>
      </c>
      <c r="D8" s="12" t="n">
        <f aca="false">COUNTIF(Missions!$H$5:$H$21,D$7)</f>
        <v>2</v>
      </c>
      <c r="E8" s="12" t="n">
        <f aca="false">COUNTIF(Missions!$H$5:$H$21,E$7)</f>
        <v>3</v>
      </c>
      <c r="F8" s="12" t="n">
        <f aca="false">SUM(B8:E8)</f>
        <v>17</v>
      </c>
      <c r="G8" s="13" t="n">
        <f aca="false">IF(F8=0,0,B8/F8)</f>
        <v>0.470588235294118</v>
      </c>
    </row>
    <row r="10" customFormat="false" ht="15" hidden="false" customHeight="false" outlineLevel="0" collapsed="false">
      <c r="A10" s="4" t="s">
        <v>17</v>
      </c>
      <c r="B10" s="5"/>
      <c r="C10" s="5"/>
      <c r="D10" s="5"/>
      <c r="E10" s="5"/>
      <c r="F10" s="5"/>
      <c r="G10" s="5"/>
      <c r="H10" s="5"/>
      <c r="I10" s="5"/>
    </row>
    <row r="11" customFormat="false" ht="43.5" hidden="false" customHeight="true" outlineLevel="0" collapsed="false">
      <c r="A11" s="6" t="s">
        <v>18</v>
      </c>
      <c r="B11" s="6" t="s">
        <v>19</v>
      </c>
      <c r="C11" s="6" t="s">
        <v>11</v>
      </c>
      <c r="D11" s="6" t="s">
        <v>12</v>
      </c>
      <c r="E11" s="6" t="s">
        <v>13</v>
      </c>
      <c r="F11" s="6" t="s">
        <v>14</v>
      </c>
      <c r="G11" s="6" t="s">
        <v>15</v>
      </c>
      <c r="H11" s="6" t="s">
        <v>20</v>
      </c>
      <c r="I11" s="6" t="s">
        <v>21</v>
      </c>
    </row>
    <row r="12" customFormat="false" ht="15" hidden="false" customHeight="false" outlineLevel="0" collapsed="false">
      <c r="A12" s="14" t="s">
        <v>22</v>
      </c>
      <c r="B12" s="15" t="n">
        <f aca="false">COUNTIF(Missions!$B$5:$B$21,$A12)</f>
        <v>2</v>
      </c>
      <c r="C12" s="15" t="n">
        <f aca="false">COUNTIFS(Missions!$B$5:$B$21,$A12,Missions!$H$5:$H$21,C$11)</f>
        <v>2</v>
      </c>
      <c r="D12" s="15" t="n">
        <f aca="false">COUNTIFS(Missions!$B$5:$B$21,$A12,Missions!$H$5:$H$21,D$11)</f>
        <v>0</v>
      </c>
      <c r="E12" s="15" t="n">
        <f aca="false">COUNTIFS(Missions!$B$5:$B$21,$A12,Missions!$H$5:$H$21,E$11)</f>
        <v>0</v>
      </c>
      <c r="F12" s="15" t="n">
        <f aca="false">COUNTIFS(Missions!$B$5:$B$21,$A12,Missions!$H$5:$H$21,F$11)</f>
        <v>0</v>
      </c>
      <c r="G12" s="16" t="n">
        <f aca="false">IF($B12=0,0,C12/$B12)</f>
        <v>1</v>
      </c>
      <c r="H12" s="15" t="n">
        <f aca="false">COUNTIFS(Indicateurs!$A$6:$A$16,$A12,Indicateurs!$H$6:$H$16,"Hors cible")</f>
        <v>0</v>
      </c>
      <c r="I12" s="15" t="n">
        <f aca="false">COUNTIFS(Indicateurs!$A$6:$A$16,$A12,Indicateurs!$H$6:$H$16,"À surveiller")</f>
        <v>2</v>
      </c>
    </row>
    <row r="13" customFormat="false" ht="15" hidden="false" customHeight="false" outlineLevel="0" collapsed="false">
      <c r="A13" s="14" t="s">
        <v>23</v>
      </c>
      <c r="B13" s="15" t="n">
        <f aca="false">COUNTIF(Missions!$B$5:$B$21,$A13)</f>
        <v>3</v>
      </c>
      <c r="C13" s="15" t="n">
        <f aca="false">COUNTIFS(Missions!$B$5:$B$21,$A13,Missions!$H$5:$H$21,C$11)</f>
        <v>2</v>
      </c>
      <c r="D13" s="15" t="n">
        <f aca="false">COUNTIFS(Missions!$B$5:$B$21,$A13,Missions!$H$5:$H$21,D$11)</f>
        <v>1</v>
      </c>
      <c r="E13" s="15" t="n">
        <f aca="false">COUNTIFS(Missions!$B$5:$B$21,$A13,Missions!$H$5:$H$21,E$11)</f>
        <v>0</v>
      </c>
      <c r="F13" s="15" t="n">
        <f aca="false">COUNTIFS(Missions!$B$5:$B$21,$A13,Missions!$H$5:$H$21,F$11)</f>
        <v>0</v>
      </c>
      <c r="G13" s="16" t="n">
        <f aca="false">IF($B13=0,0,C13/$B13)</f>
        <v>0.666666666666667</v>
      </c>
      <c r="H13" s="15" t="n">
        <f aca="false">COUNTIFS(Indicateurs!$A$6:$A$16,$A13,Indicateurs!$H$6:$H$16,"Hors cible")</f>
        <v>1</v>
      </c>
      <c r="I13" s="15" t="n">
        <f aca="false">COUNTIFS(Indicateurs!$A$6:$A$16,$A13,Indicateurs!$H$6:$H$16,"À surveiller")</f>
        <v>0</v>
      </c>
    </row>
    <row r="14" customFormat="false" ht="15" hidden="false" customHeight="false" outlineLevel="0" collapsed="false">
      <c r="A14" s="14" t="s">
        <v>24</v>
      </c>
      <c r="B14" s="15" t="n">
        <f aca="false">COUNTIF(Missions!$B$5:$B$21,$A14)</f>
        <v>3</v>
      </c>
      <c r="C14" s="15" t="n">
        <f aca="false">COUNTIFS(Missions!$B$5:$B$21,$A14,Missions!$H$5:$H$21,C$11)</f>
        <v>1</v>
      </c>
      <c r="D14" s="15" t="n">
        <f aca="false">COUNTIFS(Missions!$B$5:$B$21,$A14,Missions!$H$5:$H$21,D$11)</f>
        <v>1</v>
      </c>
      <c r="E14" s="15" t="n">
        <f aca="false">COUNTIFS(Missions!$B$5:$B$21,$A14,Missions!$H$5:$H$21,E$11)</f>
        <v>1</v>
      </c>
      <c r="F14" s="15" t="n">
        <f aca="false">COUNTIFS(Missions!$B$5:$B$21,$A14,Missions!$H$5:$H$21,F$11)</f>
        <v>0</v>
      </c>
      <c r="G14" s="16" t="n">
        <f aca="false">IF($B14=0,0,C14/$B14)</f>
        <v>0.333333333333333</v>
      </c>
      <c r="H14" s="15" t="n">
        <f aca="false">COUNTIFS(Indicateurs!$A$6:$A$16,$A14,Indicateurs!$H$6:$H$16,"Hors cible")</f>
        <v>0</v>
      </c>
      <c r="I14" s="15" t="n">
        <f aca="false">COUNTIFS(Indicateurs!$A$6:$A$16,$A14,Indicateurs!$H$6:$H$16,"À surveiller")</f>
        <v>1</v>
      </c>
    </row>
    <row r="15" customFormat="false" ht="15" hidden="false" customHeight="false" outlineLevel="0" collapsed="false">
      <c r="A15" s="14" t="s">
        <v>25</v>
      </c>
      <c r="B15" s="15" t="n">
        <f aca="false">COUNTIF(Missions!$B$5:$B$21,$A15)</f>
        <v>5</v>
      </c>
      <c r="C15" s="15" t="n">
        <f aca="false">COUNTIFS(Missions!$B$5:$B$21,$A15,Missions!$H$5:$H$21,C$11)</f>
        <v>1</v>
      </c>
      <c r="D15" s="15" t="n">
        <f aca="false">COUNTIFS(Missions!$B$5:$B$21,$A15,Missions!$H$5:$H$21,D$11)</f>
        <v>1</v>
      </c>
      <c r="E15" s="15" t="n">
        <f aca="false">COUNTIFS(Missions!$B$5:$B$21,$A15,Missions!$H$5:$H$21,E$11)</f>
        <v>1</v>
      </c>
      <c r="F15" s="15" t="n">
        <f aca="false">COUNTIFS(Missions!$B$5:$B$21,$A15,Missions!$H$5:$H$21,F$11)</f>
        <v>2</v>
      </c>
      <c r="G15" s="16" t="n">
        <f aca="false">IF($B15=0,0,C15/$B15)</f>
        <v>0.2</v>
      </c>
      <c r="H15" s="15" t="n">
        <f aca="false">COUNTIFS(Indicateurs!$A$6:$A$16,$A15,Indicateurs!$H$6:$H$16,"Hors cible")</f>
        <v>1</v>
      </c>
      <c r="I15" s="15" t="n">
        <f aca="false">COUNTIFS(Indicateurs!$A$6:$A$16,$A15,Indicateurs!$H$6:$H$16,"À surveiller")</f>
        <v>1</v>
      </c>
    </row>
    <row r="16" customFormat="false" ht="15" hidden="false" customHeight="false" outlineLevel="0" collapsed="false">
      <c r="A16" s="14" t="s">
        <v>26</v>
      </c>
      <c r="B16" s="15" t="n">
        <f aca="false">COUNTIF(Missions!$B$5:$B$21,$A16)</f>
        <v>3</v>
      </c>
      <c r="C16" s="15" t="n">
        <f aca="false">COUNTIFS(Missions!$B$5:$B$21,$A16,Missions!$H$5:$H$21,C$11)</f>
        <v>2</v>
      </c>
      <c r="D16" s="15" t="n">
        <f aca="false">COUNTIFS(Missions!$B$5:$B$21,$A16,Missions!$H$5:$H$21,D$11)</f>
        <v>0</v>
      </c>
      <c r="E16" s="15" t="n">
        <f aca="false">COUNTIFS(Missions!$B$5:$B$21,$A16,Missions!$H$5:$H$21,E$11)</f>
        <v>0</v>
      </c>
      <c r="F16" s="15" t="n">
        <f aca="false">COUNTIFS(Missions!$B$5:$B$21,$A16,Missions!$H$5:$H$21,F$11)</f>
        <v>1</v>
      </c>
      <c r="G16" s="16" t="n">
        <f aca="false">IF($B16=0,0,C16/$B16)</f>
        <v>0.666666666666667</v>
      </c>
      <c r="H16" s="15" t="n">
        <f aca="false">COUNTIFS(Indicateurs!$A$6:$A$16,$A16,Indicateurs!$H$6:$H$16,"Hors cible")</f>
        <v>0</v>
      </c>
      <c r="I16" s="15" t="n">
        <f aca="false">COUNTIFS(Indicateurs!$A$6:$A$16,$A16,Indicateurs!$H$6:$H$16,"À surveiller")</f>
        <v>0</v>
      </c>
    </row>
    <row r="17" customFormat="false" ht="15" hidden="false" customHeight="false" outlineLevel="0" collapsed="false">
      <c r="A17" s="14" t="s">
        <v>27</v>
      </c>
      <c r="B17" s="15" t="n">
        <f aca="false">COUNTIF(Missions!$B$5:$B$21,$A17)</f>
        <v>1</v>
      </c>
      <c r="C17" s="15" t="n">
        <f aca="false">COUNTIFS(Missions!$B$5:$B$21,$A17,Missions!$H$5:$H$21,C$11)</f>
        <v>0</v>
      </c>
      <c r="D17" s="15" t="n">
        <f aca="false">COUNTIFS(Missions!$B$5:$B$21,$A17,Missions!$H$5:$H$21,D$11)</f>
        <v>1</v>
      </c>
      <c r="E17" s="15" t="n">
        <f aca="false">COUNTIFS(Missions!$B$5:$B$21,$A17,Missions!$H$5:$H$21,E$11)</f>
        <v>0</v>
      </c>
      <c r="F17" s="15" t="n">
        <f aca="false">COUNTIFS(Missions!$B$5:$B$21,$A17,Missions!$H$5:$H$21,F$11)</f>
        <v>0</v>
      </c>
      <c r="G17" s="16" t="n">
        <f aca="false">IF($B17=0,0,C17/$B17)</f>
        <v>0</v>
      </c>
      <c r="H17" s="15" t="n">
        <f aca="false">COUNTIFS(Indicateurs!$A$6:$A$16,$A17,Indicateurs!$H$6:$H$16,"Hors cible")</f>
        <v>0</v>
      </c>
      <c r="I17" s="15" t="n">
        <f aca="false">COUNTIFS(Indicateurs!$A$6:$A$16,$A17,Indicateurs!$H$6:$H$16,"À surveiller")</f>
        <v>0</v>
      </c>
    </row>
    <row r="18" customFormat="false" ht="15" hidden="false" customHeight="false" outlineLevel="0" collapsed="false">
      <c r="A18" s="17" t="s">
        <v>8</v>
      </c>
      <c r="B18" s="18" t="n">
        <f aca="false">SUM(B12:B17)</f>
        <v>17</v>
      </c>
      <c r="C18" s="18" t="n">
        <f aca="false">SUM(C12:C17)</f>
        <v>8</v>
      </c>
      <c r="D18" s="18" t="n">
        <f aca="false">SUM(D12:D17)</f>
        <v>4</v>
      </c>
      <c r="E18" s="18" t="n">
        <f aca="false">SUM(E12:E17)</f>
        <v>2</v>
      </c>
      <c r="F18" s="18" t="n">
        <f aca="false">SUM(F12:F17)</f>
        <v>3</v>
      </c>
      <c r="G18" s="19" t="n">
        <f aca="false">IF(B18=0,0,C18/B18)</f>
        <v>0.470588235294118</v>
      </c>
      <c r="H18" s="18" t="n">
        <f aca="false">SUM(H12:H17)</f>
        <v>2</v>
      </c>
      <c r="I18" s="18" t="n">
        <f aca="false">SUM(I12:I17)</f>
        <v>4</v>
      </c>
    </row>
    <row r="40" customFormat="false" ht="15" hidden="false" customHeight="false" outlineLevel="0" collapsed="false">
      <c r="A40" s="20" t="s">
        <v>28</v>
      </c>
    </row>
  </sheetData>
  <conditionalFormatting sqref="H12:H17">
    <cfRule type="cellIs" priority="2" operator="greaterThan" aboveAverage="0" equalAverage="0" bottom="0" percent="0" rank="0" text="" dxfId="0">
      <formula>0</formula>
    </cfRule>
  </conditionalFormatting>
  <conditionalFormatting sqref="I12:I17">
    <cfRule type="cellIs" priority="3" operator="greaterThan" aboveAverage="0" equalAverage="0" bottom="0" percent="0" rank="0" text="" dxfId="1">
      <formula>0</formula>
    </cfRule>
  </conditionalFormatting>
  <conditionalFormatting sqref="E12:E17">
    <cfRule type="cellIs" priority="4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&amp;C&amp;10 Multimédia Glory Guinée SARLU</oddHeader>
    <oddFooter>&amp;C&amp;9 Page &amp;P sur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2" t="s">
        <v>29</v>
      </c>
    </row>
    <row r="2" customFormat="false" ht="15" hidden="false" customHeight="false" outlineLevel="0" collapsed="false">
      <c r="A2" s="21" t="s">
        <v>30</v>
      </c>
    </row>
    <row r="3" customFormat="false" ht="15" hidden="false" customHeight="false" outlineLevel="0" collapsed="false">
      <c r="A3" s="22" t="s">
        <v>31</v>
      </c>
      <c r="C3" s="23" t="n">
        <v>0.9</v>
      </c>
      <c r="D3" s="20" t="s">
        <v>32</v>
      </c>
    </row>
    <row r="5" customFormat="false" ht="43.5" hidden="false" customHeight="true" outlineLevel="0" collapsed="false">
      <c r="A5" s="6" t="s">
        <v>18</v>
      </c>
      <c r="B5" s="6" t="s">
        <v>33</v>
      </c>
      <c r="C5" s="6" t="s">
        <v>34</v>
      </c>
      <c r="D5" s="6" t="s">
        <v>35</v>
      </c>
      <c r="E5" s="6" t="s">
        <v>36</v>
      </c>
      <c r="F5" s="6" t="s">
        <v>37</v>
      </c>
      <c r="G5" s="6" t="s">
        <v>38</v>
      </c>
      <c r="H5" s="6" t="s">
        <v>39</v>
      </c>
    </row>
    <row r="6" customFormat="false" ht="15" hidden="false" customHeight="false" outlineLevel="0" collapsed="false">
      <c r="A6" s="24" t="s">
        <v>22</v>
      </c>
      <c r="B6" s="24" t="s">
        <v>40</v>
      </c>
      <c r="C6" s="25" t="s">
        <v>41</v>
      </c>
      <c r="D6" s="26"/>
      <c r="E6" s="27" t="n">
        <v>0.95</v>
      </c>
      <c r="F6" s="27" t="n">
        <v>0.92</v>
      </c>
      <c r="G6" s="28" t="n">
        <f aca="false">IF(OR(E6="",F6=""),"",F6-E6)</f>
        <v>-0.0299999999999999</v>
      </c>
      <c r="H6" s="29" t="str">
        <f aca="false">IF(OR(E6="",F6=""),"À renseigner",IF(C6="≥",IF(F6&gt;=E6,"Atteint",IF(F6&gt;=E6*$C$3,"À surveiller","Hors cible")),IF(F6&lt;=E6,"Atteint",IF(F6&lt;=E6+D6,"À surveiller","Hors cible"))))</f>
        <v>À surveiller</v>
      </c>
    </row>
    <row r="7" customFormat="false" ht="15" hidden="false" customHeight="false" outlineLevel="0" collapsed="false">
      <c r="A7" s="24" t="s">
        <v>22</v>
      </c>
      <c r="B7" s="24" t="s">
        <v>42</v>
      </c>
      <c r="C7" s="25" t="s">
        <v>43</v>
      </c>
      <c r="D7" s="30" t="n">
        <v>3</v>
      </c>
      <c r="E7" s="31" t="n">
        <v>2</v>
      </c>
      <c r="F7" s="31" t="n">
        <v>4</v>
      </c>
      <c r="G7" s="32" t="n">
        <f aca="false">IF(OR(E7="",F7=""),"",F7-E7)</f>
        <v>2</v>
      </c>
      <c r="H7" s="29" t="str">
        <f aca="false">IF(OR(E7="",F7=""),"À renseigner",IF(C7="≥",IF(F7&gt;=E7,"Atteint",IF(F7&gt;=E7*$C$3,"À surveiller","Hors cible")),IF(F7&lt;=E7,"Atteint",IF(F7&lt;=E7+D7,"À surveiller","Hors cible"))))</f>
        <v>À surveiller</v>
      </c>
    </row>
    <row r="8" customFormat="false" ht="15" hidden="false" customHeight="false" outlineLevel="0" collapsed="false">
      <c r="A8" s="24" t="s">
        <v>23</v>
      </c>
      <c r="B8" s="24" t="s">
        <v>44</v>
      </c>
      <c r="C8" s="25" t="s">
        <v>41</v>
      </c>
      <c r="D8" s="26"/>
      <c r="E8" s="27" t="n">
        <v>1</v>
      </c>
      <c r="F8" s="27" t="n">
        <v>1</v>
      </c>
      <c r="G8" s="28" t="n">
        <f aca="false">IF(OR(E8="",F8=""),"",F8-E8)</f>
        <v>0</v>
      </c>
      <c r="H8" s="29" t="str">
        <f aca="false">IF(OR(E8="",F8=""),"À renseigner",IF(C8="≥",IF(F8&gt;=E8,"Atteint",IF(F8&gt;=E8*$C$3,"À surveiller","Hors cible")),IF(F8&lt;=E8,"Atteint",IF(F8&lt;=E8+D8,"À surveiller","Hors cible"))))</f>
        <v>Atteint</v>
      </c>
    </row>
    <row r="9" customFormat="false" ht="15" hidden="false" customHeight="false" outlineLevel="0" collapsed="false">
      <c r="A9" s="24" t="s">
        <v>23</v>
      </c>
      <c r="B9" s="24" t="s">
        <v>45</v>
      </c>
      <c r="C9" s="25" t="s">
        <v>43</v>
      </c>
      <c r="D9" s="30" t="n">
        <v>1</v>
      </c>
      <c r="E9" s="31" t="n">
        <v>0</v>
      </c>
      <c r="F9" s="31" t="n">
        <v>2</v>
      </c>
      <c r="G9" s="32" t="n">
        <f aca="false">IF(OR(E9="",F9=""),"",F9-E9)</f>
        <v>2</v>
      </c>
      <c r="H9" s="29" t="str">
        <f aca="false">IF(OR(E9="",F9=""),"À renseigner",IF(C9="≥",IF(F9&gt;=E9,"Atteint",IF(F9&gt;=E9*$C$3,"À surveiller","Hors cible")),IF(F9&lt;=E9,"Atteint",IF(F9&lt;=E9+D9,"À surveiller","Hors cible"))))</f>
        <v>Hors cible</v>
      </c>
    </row>
    <row r="10" customFormat="false" ht="15" hidden="false" customHeight="false" outlineLevel="0" collapsed="false">
      <c r="A10" s="24" t="s">
        <v>24</v>
      </c>
      <c r="B10" s="24" t="s">
        <v>46</v>
      </c>
      <c r="C10" s="25" t="s">
        <v>41</v>
      </c>
      <c r="D10" s="26"/>
      <c r="E10" s="27" t="n">
        <v>0.98</v>
      </c>
      <c r="F10" s="27" t="n">
        <v>0.96</v>
      </c>
      <c r="G10" s="28" t="n">
        <f aca="false">IF(OR(E10="",F10=""),"",F10-E10)</f>
        <v>-0.02</v>
      </c>
      <c r="H10" s="29" t="str">
        <f aca="false">IF(OR(E10="",F10=""),"À renseigner",IF(C10="≥",IF(F10&gt;=E10,"Atteint",IF(F10&gt;=E10*$C$3,"À surveiller","Hors cible")),IF(F10&lt;=E10,"Atteint",IF(F10&lt;=E10+D10,"À surveiller","Hors cible"))))</f>
        <v>À surveiller</v>
      </c>
    </row>
    <row r="11" customFormat="false" ht="15" hidden="false" customHeight="false" outlineLevel="0" collapsed="false">
      <c r="A11" s="24" t="s">
        <v>24</v>
      </c>
      <c r="B11" s="24" t="s">
        <v>47</v>
      </c>
      <c r="C11" s="25" t="s">
        <v>43</v>
      </c>
      <c r="D11" s="30" t="n">
        <v>2</v>
      </c>
      <c r="E11" s="31" t="n">
        <v>0</v>
      </c>
      <c r="F11" s="31" t="n">
        <v>0</v>
      </c>
      <c r="G11" s="32" t="n">
        <f aca="false">IF(OR(E11="",F11=""),"",F11-E11)</f>
        <v>0</v>
      </c>
      <c r="H11" s="29" t="str">
        <f aca="false">IF(OR(E11="",F11=""),"À renseigner",IF(C11="≥",IF(F11&gt;=E11,"Atteint",IF(F11&gt;=E11*$C$3,"À surveiller","Hors cible")),IF(F11&lt;=E11,"Atteint",IF(F11&lt;=E11+D11,"À surveiller","Hors cible"))))</f>
        <v>Atteint</v>
      </c>
    </row>
    <row r="12" customFormat="false" ht="15" hidden="false" customHeight="false" outlineLevel="0" collapsed="false">
      <c r="A12" s="24" t="s">
        <v>25</v>
      </c>
      <c r="B12" s="24" t="s">
        <v>48</v>
      </c>
      <c r="C12" s="25" t="s">
        <v>43</v>
      </c>
      <c r="D12" s="30" t="n">
        <v>2</v>
      </c>
      <c r="E12" s="31" t="n">
        <v>0</v>
      </c>
      <c r="F12" s="31" t="n">
        <v>0</v>
      </c>
      <c r="G12" s="32" t="n">
        <f aca="false">IF(OR(E12="",F12=""),"",F12-E12)</f>
        <v>0</v>
      </c>
      <c r="H12" s="29" t="str">
        <f aca="false">IF(OR(E12="",F12=""),"À renseigner",IF(C12="≥",IF(F12&gt;=E12,"Atteint",IF(F12&gt;=E12*$C$3,"À surveiller","Hors cible")),IF(F12&lt;=E12,"Atteint",IF(F12&lt;=E12+D12,"À surveiller","Hors cible"))))</f>
        <v>Atteint</v>
      </c>
    </row>
    <row r="13" customFormat="false" ht="15" hidden="false" customHeight="false" outlineLevel="0" collapsed="false">
      <c r="A13" s="24" t="s">
        <v>25</v>
      </c>
      <c r="B13" s="24" t="s">
        <v>49</v>
      </c>
      <c r="C13" s="25" t="s">
        <v>41</v>
      </c>
      <c r="D13" s="26"/>
      <c r="E13" s="27" t="n">
        <v>1</v>
      </c>
      <c r="F13" s="27" t="n">
        <v>0.97</v>
      </c>
      <c r="G13" s="28" t="n">
        <f aca="false">IF(OR(E13="",F13=""),"",F13-E13)</f>
        <v>-0.03</v>
      </c>
      <c r="H13" s="29" t="str">
        <f aca="false">IF(OR(E13="",F13=""),"À renseigner",IF(C13="≥",IF(F13&gt;=E13,"Atteint",IF(F13&gt;=E13*$C$3,"À surveiller","Hors cible")),IF(F13&lt;=E13,"Atteint",IF(F13&lt;=E13+D13,"À surveiller","Hors cible"))))</f>
        <v>À surveiller</v>
      </c>
    </row>
    <row r="14" customFormat="false" ht="15" hidden="false" customHeight="false" outlineLevel="0" collapsed="false">
      <c r="A14" s="24" t="s">
        <v>25</v>
      </c>
      <c r="B14" s="24" t="s">
        <v>50</v>
      </c>
      <c r="C14" s="25" t="s">
        <v>43</v>
      </c>
      <c r="D14" s="30" t="n">
        <v>2</v>
      </c>
      <c r="E14" s="31" t="n">
        <v>0</v>
      </c>
      <c r="F14" s="31" t="n">
        <v>3</v>
      </c>
      <c r="G14" s="32" t="n">
        <f aca="false">IF(OR(E14="",F14=""),"",F14-E14)</f>
        <v>3</v>
      </c>
      <c r="H14" s="29" t="str">
        <f aca="false">IF(OR(E14="",F14=""),"À renseigner",IF(C14="≥",IF(F14&gt;=E14,"Atteint",IF(F14&gt;=E14*$C$3,"À surveiller","Hors cible")),IF(F14&lt;=E14,"Atteint",IF(F14&lt;=E14+D14,"À surveiller","Hors cible"))))</f>
        <v>Hors cible</v>
      </c>
    </row>
    <row r="15" customFormat="false" ht="15" hidden="false" customHeight="false" outlineLevel="0" collapsed="false">
      <c r="A15" s="24" t="s">
        <v>26</v>
      </c>
      <c r="B15" s="24" t="s">
        <v>51</v>
      </c>
      <c r="C15" s="25" t="s">
        <v>41</v>
      </c>
      <c r="D15" s="26"/>
      <c r="E15" s="27" t="n">
        <v>0.9</v>
      </c>
      <c r="F15" s="27" t="n">
        <v>0.9</v>
      </c>
      <c r="G15" s="28" t="n">
        <f aca="false">IF(OR(E15="",F15=""),"",F15-E15)</f>
        <v>0</v>
      </c>
      <c r="H15" s="29" t="str">
        <f aca="false">IF(OR(E15="",F15=""),"À renseigner",IF(C15="≥",IF(F15&gt;=E15,"Atteint",IF(F15&gt;=E15*$C$3,"À surveiller","Hors cible")),IF(F15&lt;=E15,"Atteint",IF(F15&lt;=E15+D15,"À surveiller","Hors cible"))))</f>
        <v>Atteint</v>
      </c>
    </row>
    <row r="16" customFormat="false" ht="15" hidden="false" customHeight="false" outlineLevel="0" collapsed="false">
      <c r="A16" s="24" t="s">
        <v>27</v>
      </c>
      <c r="B16" s="24" t="s">
        <v>52</v>
      </c>
      <c r="C16" s="25" t="s">
        <v>41</v>
      </c>
      <c r="D16" s="26"/>
      <c r="E16" s="27" t="n">
        <v>1</v>
      </c>
      <c r="F16" s="27" t="n">
        <v>1</v>
      </c>
      <c r="G16" s="28" t="n">
        <f aca="false">IF(OR(E16="",F16=""),"",F16-E16)</f>
        <v>0</v>
      </c>
      <c r="H16" s="29" t="str">
        <f aca="false">IF(OR(E16="",F16=""),"À renseigner",IF(C16="≥",IF(F16&gt;=E16,"Atteint",IF(F16&gt;=E16*$C$3,"À surveiller","Hors cible")),IF(F16&lt;=E16,"Atteint",IF(F16&lt;=E16+D16,"À surveiller","Hors cible"))))</f>
        <v>Atteint</v>
      </c>
    </row>
    <row r="18" customFormat="false" ht="15" hidden="false" customHeight="false" outlineLevel="0" collapsed="false">
      <c r="A18" s="33" t="s">
        <v>53</v>
      </c>
    </row>
    <row r="19" customFormat="false" ht="15" hidden="false" customHeight="false" outlineLevel="0" collapsed="false">
      <c r="A19" s="20" t="s">
        <v>54</v>
      </c>
    </row>
    <row r="20" customFormat="false" ht="15" hidden="false" customHeight="false" outlineLevel="0" collapsed="false">
      <c r="A20" s="20" t="s">
        <v>55</v>
      </c>
    </row>
    <row r="21" customFormat="false" ht="15" hidden="false" customHeight="false" outlineLevel="0" collapsed="false">
      <c r="A21" s="20" t="s">
        <v>56</v>
      </c>
    </row>
    <row r="22" customFormat="false" ht="15" hidden="false" customHeight="false" outlineLevel="0" collapsed="false">
      <c r="A22" s="20" t="s">
        <v>57</v>
      </c>
    </row>
  </sheetData>
  <conditionalFormatting sqref="H6:H16">
    <cfRule type="expression" priority="2" aboveAverage="0" equalAverage="0" bottom="0" percent="0" rank="0" text="" dxfId="3">
      <formula>$H6="Atteint"</formula>
    </cfRule>
    <cfRule type="expression" priority="3" aboveAverage="0" equalAverage="0" bottom="0" percent="0" rank="0" text="" dxfId="1">
      <formula>$H6="À surveiller"</formula>
    </cfRule>
    <cfRule type="expression" priority="4" aboveAverage="0" equalAverage="0" bottom="0" percent="0" rank="0" text="" dxfId="0">
      <formula>$H6="Hors cible"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&amp;C&amp;10 Multimédia Glory Guinée SARLU</oddHeader>
    <oddFooter>&amp;C&amp;9 Page &amp;P sur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52"/>
    <col collapsed="false" customWidth="true" hidden="false" outlineLevel="0" max="4" min="4" style="0" width="40"/>
    <col collapsed="false" customWidth="true" hidden="false" outlineLevel="0" max="6" min="5" style="0" width="20"/>
    <col collapsed="false" customWidth="true" hidden="false" outlineLevel="0" max="7" min="7" style="0" width="42"/>
    <col collapsed="false" customWidth="true" hidden="false" outlineLevel="0" max="8" min="8" style="0" width="20"/>
  </cols>
  <sheetData>
    <row r="1" customFormat="false" ht="25.5" hidden="false" customHeight="true" outlineLevel="0" collapsed="false">
      <c r="A1" s="2" t="s">
        <v>58</v>
      </c>
    </row>
    <row r="2" customFormat="false" ht="15" hidden="false" customHeight="false" outlineLevel="0" collapsed="false">
      <c r="A2" s="21" t="s">
        <v>59</v>
      </c>
    </row>
    <row r="3" customFormat="false" ht="15" hidden="false" customHeight="false" outlineLevel="0" collapsed="false">
      <c r="A3" s="20" t="s">
        <v>60</v>
      </c>
    </row>
    <row r="4" customFormat="false" ht="30" hidden="false" customHeight="true" outlineLevel="0" collapsed="false">
      <c r="A4" s="6" t="s">
        <v>61</v>
      </c>
      <c r="B4" s="6" t="s">
        <v>18</v>
      </c>
      <c r="C4" s="6" t="s">
        <v>62</v>
      </c>
      <c r="D4" s="6" t="s">
        <v>63</v>
      </c>
      <c r="E4" s="6" t="s">
        <v>64</v>
      </c>
      <c r="F4" s="6" t="s">
        <v>65</v>
      </c>
      <c r="G4" s="6" t="s">
        <v>66</v>
      </c>
      <c r="H4" s="6" t="s">
        <v>67</v>
      </c>
    </row>
    <row r="5" customFormat="false" ht="15" hidden="false" customHeight="false" outlineLevel="0" collapsed="false">
      <c r="A5" s="34" t="s">
        <v>68</v>
      </c>
      <c r="B5" s="34" t="s">
        <v>22</v>
      </c>
      <c r="C5" s="34" t="s">
        <v>69</v>
      </c>
      <c r="D5" s="34"/>
      <c r="E5" s="34" t="s">
        <v>70</v>
      </c>
      <c r="F5" s="34" t="s">
        <v>70</v>
      </c>
      <c r="G5" s="34" t="s">
        <v>71</v>
      </c>
      <c r="H5" s="35" t="s">
        <v>11</v>
      </c>
    </row>
    <row r="6" customFormat="false" ht="35.05" hidden="false" customHeight="false" outlineLevel="0" collapsed="false">
      <c r="A6" s="34" t="s">
        <v>72</v>
      </c>
      <c r="B6" s="34" t="s">
        <v>22</v>
      </c>
      <c r="C6" s="34" t="s">
        <v>73</v>
      </c>
      <c r="D6" s="34" t="s">
        <v>74</v>
      </c>
      <c r="E6" s="34" t="s">
        <v>75</v>
      </c>
      <c r="F6" s="34" t="s">
        <v>75</v>
      </c>
      <c r="G6" s="34" t="s">
        <v>76</v>
      </c>
      <c r="H6" s="35" t="s">
        <v>11</v>
      </c>
    </row>
    <row r="7" customFormat="false" ht="23.85" hidden="false" customHeight="false" outlineLevel="0" collapsed="false">
      <c r="A7" s="34" t="s">
        <v>77</v>
      </c>
      <c r="B7" s="34" t="s">
        <v>23</v>
      </c>
      <c r="C7" s="34" t="s">
        <v>78</v>
      </c>
      <c r="D7" s="34"/>
      <c r="E7" s="34" t="s">
        <v>70</v>
      </c>
      <c r="F7" s="34" t="s">
        <v>70</v>
      </c>
      <c r="G7" s="34" t="s">
        <v>79</v>
      </c>
      <c r="H7" s="35" t="s">
        <v>11</v>
      </c>
    </row>
    <row r="8" customFormat="false" ht="23.85" hidden="false" customHeight="false" outlineLevel="0" collapsed="false">
      <c r="A8" s="34" t="s">
        <v>80</v>
      </c>
      <c r="B8" s="34" t="s">
        <v>23</v>
      </c>
      <c r="C8" s="34" t="s">
        <v>81</v>
      </c>
      <c r="D8" s="34"/>
      <c r="E8" s="34" t="s">
        <v>82</v>
      </c>
      <c r="F8" s="34" t="s">
        <v>83</v>
      </c>
      <c r="G8" s="34" t="s">
        <v>84</v>
      </c>
      <c r="H8" s="35" t="s">
        <v>11</v>
      </c>
    </row>
    <row r="9" customFormat="false" ht="15" hidden="false" customHeight="false" outlineLevel="0" collapsed="false">
      <c r="A9" s="34" t="s">
        <v>85</v>
      </c>
      <c r="B9" s="34" t="s">
        <v>23</v>
      </c>
      <c r="C9" s="34" t="s">
        <v>86</v>
      </c>
      <c r="D9" s="34"/>
      <c r="E9" s="34" t="s">
        <v>87</v>
      </c>
      <c r="F9" s="34" t="s">
        <v>83</v>
      </c>
      <c r="G9" s="34" t="s">
        <v>88</v>
      </c>
      <c r="H9" s="35" t="s">
        <v>12</v>
      </c>
    </row>
    <row r="10" customFormat="false" ht="23.85" hidden="false" customHeight="false" outlineLevel="0" collapsed="false">
      <c r="A10" s="34" t="s">
        <v>89</v>
      </c>
      <c r="B10" s="34" t="s">
        <v>24</v>
      </c>
      <c r="C10" s="34" t="s">
        <v>90</v>
      </c>
      <c r="D10" s="34"/>
      <c r="E10" s="34" t="s">
        <v>70</v>
      </c>
      <c r="F10" s="34" t="s">
        <v>70</v>
      </c>
      <c r="G10" s="34" t="s">
        <v>91</v>
      </c>
      <c r="H10" s="35" t="s">
        <v>11</v>
      </c>
    </row>
    <row r="11" customFormat="false" ht="15" hidden="false" customHeight="false" outlineLevel="0" collapsed="false">
      <c r="A11" s="34" t="s">
        <v>92</v>
      </c>
      <c r="B11" s="34" t="s">
        <v>24</v>
      </c>
      <c r="C11" s="34" t="s">
        <v>93</v>
      </c>
      <c r="D11" s="34" t="s">
        <v>94</v>
      </c>
      <c r="E11" s="34" t="s">
        <v>95</v>
      </c>
      <c r="F11" s="34" t="s">
        <v>95</v>
      </c>
      <c r="G11" s="34" t="s">
        <v>96</v>
      </c>
      <c r="H11" s="35" t="s">
        <v>12</v>
      </c>
    </row>
    <row r="12" customFormat="false" ht="15" hidden="false" customHeight="false" outlineLevel="0" collapsed="false">
      <c r="A12" s="34" t="s">
        <v>97</v>
      </c>
      <c r="B12" s="34" t="s">
        <v>24</v>
      </c>
      <c r="C12" s="34" t="s">
        <v>98</v>
      </c>
      <c r="D12" s="34"/>
      <c r="E12" s="34" t="s">
        <v>99</v>
      </c>
      <c r="F12" s="34" t="s">
        <v>83</v>
      </c>
      <c r="G12" s="34" t="s">
        <v>100</v>
      </c>
      <c r="H12" s="35" t="s">
        <v>13</v>
      </c>
    </row>
    <row r="13" customFormat="false" ht="15" hidden="false" customHeight="false" outlineLevel="0" collapsed="false">
      <c r="A13" s="34" t="s">
        <v>101</v>
      </c>
      <c r="B13" s="34" t="s">
        <v>25</v>
      </c>
      <c r="C13" s="34" t="s">
        <v>102</v>
      </c>
      <c r="D13" s="34"/>
      <c r="E13" s="34" t="s">
        <v>103</v>
      </c>
      <c r="F13" s="34" t="s">
        <v>103</v>
      </c>
      <c r="G13" s="34" t="s">
        <v>104</v>
      </c>
      <c r="H13" s="35" t="s">
        <v>11</v>
      </c>
    </row>
    <row r="14" customFormat="false" ht="15" hidden="false" customHeight="false" outlineLevel="0" collapsed="false">
      <c r="A14" s="34" t="s">
        <v>105</v>
      </c>
      <c r="B14" s="34" t="s">
        <v>25</v>
      </c>
      <c r="C14" s="34" t="s">
        <v>106</v>
      </c>
      <c r="D14" s="34" t="s">
        <v>107</v>
      </c>
      <c r="E14" s="34" t="s">
        <v>95</v>
      </c>
      <c r="F14" s="34" t="s">
        <v>95</v>
      </c>
      <c r="G14" s="34" t="s">
        <v>108</v>
      </c>
      <c r="H14" s="35" t="s">
        <v>12</v>
      </c>
    </row>
    <row r="15" customFormat="false" ht="15" hidden="false" customHeight="false" outlineLevel="0" collapsed="false">
      <c r="A15" s="34" t="s">
        <v>109</v>
      </c>
      <c r="B15" s="34" t="s">
        <v>25</v>
      </c>
      <c r="C15" s="34" t="s">
        <v>110</v>
      </c>
      <c r="D15" s="34"/>
      <c r="E15" s="34" t="s">
        <v>103</v>
      </c>
      <c r="F15" s="34" t="s">
        <v>103</v>
      </c>
      <c r="G15" s="34" t="s">
        <v>111</v>
      </c>
      <c r="H15" s="35" t="s">
        <v>14</v>
      </c>
    </row>
    <row r="16" customFormat="false" ht="15" hidden="false" customHeight="false" outlineLevel="0" collapsed="false">
      <c r="A16" s="34" t="s">
        <v>112</v>
      </c>
      <c r="B16" s="34" t="s">
        <v>25</v>
      </c>
      <c r="C16" s="34" t="s">
        <v>113</v>
      </c>
      <c r="D16" s="34" t="s">
        <v>114</v>
      </c>
      <c r="E16" s="34" t="s">
        <v>95</v>
      </c>
      <c r="F16" s="34" t="s">
        <v>95</v>
      </c>
      <c r="G16" s="34" t="s">
        <v>115</v>
      </c>
      <c r="H16" s="35" t="s">
        <v>14</v>
      </c>
    </row>
    <row r="17" customFormat="false" ht="15" hidden="false" customHeight="false" outlineLevel="0" collapsed="false">
      <c r="A17" s="34" t="s">
        <v>116</v>
      </c>
      <c r="B17" s="34" t="s">
        <v>25</v>
      </c>
      <c r="C17" s="34" t="s">
        <v>117</v>
      </c>
      <c r="D17" s="34"/>
      <c r="E17" s="34" t="s">
        <v>103</v>
      </c>
      <c r="F17" s="34" t="s">
        <v>103</v>
      </c>
      <c r="G17" s="34" t="s">
        <v>118</v>
      </c>
      <c r="H17" s="35" t="s">
        <v>13</v>
      </c>
    </row>
    <row r="18" customFormat="false" ht="15" hidden="false" customHeight="false" outlineLevel="0" collapsed="false">
      <c r="A18" s="34" t="s">
        <v>119</v>
      </c>
      <c r="B18" s="34" t="s">
        <v>26</v>
      </c>
      <c r="C18" s="34" t="s">
        <v>120</v>
      </c>
      <c r="D18" s="34"/>
      <c r="E18" s="34" t="s">
        <v>103</v>
      </c>
      <c r="F18" s="34" t="s">
        <v>103</v>
      </c>
      <c r="G18" s="34" t="s">
        <v>121</v>
      </c>
      <c r="H18" s="35" t="s">
        <v>11</v>
      </c>
    </row>
    <row r="19" customFormat="false" ht="15" hidden="false" customHeight="false" outlineLevel="0" collapsed="false">
      <c r="A19" s="34" t="s">
        <v>122</v>
      </c>
      <c r="B19" s="34" t="s">
        <v>26</v>
      </c>
      <c r="C19" s="34" t="s">
        <v>123</v>
      </c>
      <c r="D19" s="34"/>
      <c r="E19" s="34" t="s">
        <v>70</v>
      </c>
      <c r="F19" s="34" t="s">
        <v>70</v>
      </c>
      <c r="G19" s="34" t="s">
        <v>124</v>
      </c>
      <c r="H19" s="35" t="s">
        <v>14</v>
      </c>
    </row>
    <row r="20" customFormat="false" ht="15" hidden="false" customHeight="false" outlineLevel="0" collapsed="false">
      <c r="A20" s="34" t="s">
        <v>125</v>
      </c>
      <c r="B20" s="34" t="s">
        <v>26</v>
      </c>
      <c r="C20" s="34" t="s">
        <v>126</v>
      </c>
      <c r="D20" s="34"/>
      <c r="E20" s="34" t="s">
        <v>75</v>
      </c>
      <c r="F20" s="34" t="s">
        <v>75</v>
      </c>
      <c r="G20" s="34" t="s">
        <v>127</v>
      </c>
      <c r="H20" s="35" t="s">
        <v>11</v>
      </c>
    </row>
    <row r="21" customFormat="false" ht="23.85" hidden="false" customHeight="false" outlineLevel="0" collapsed="false">
      <c r="A21" s="34" t="s">
        <v>128</v>
      </c>
      <c r="B21" s="34" t="s">
        <v>27</v>
      </c>
      <c r="C21" s="34" t="s">
        <v>129</v>
      </c>
      <c r="D21" s="34"/>
      <c r="E21" s="34" t="s">
        <v>130</v>
      </c>
      <c r="F21" s="34" t="s">
        <v>83</v>
      </c>
      <c r="G21" s="34" t="s">
        <v>131</v>
      </c>
      <c r="H21" s="35" t="s">
        <v>12</v>
      </c>
    </row>
    <row r="23" customFormat="false" ht="15" hidden="false" customHeight="false" outlineLevel="0" collapsed="false">
      <c r="A23" s="20" t="s">
        <v>132</v>
      </c>
    </row>
  </sheetData>
  <autoFilter ref="A4:H21"/>
  <conditionalFormatting sqref="H5:H21">
    <cfRule type="expression" priority="2" aboveAverage="0" equalAverage="0" bottom="0" percent="0" rank="0" text="" dxfId="3">
      <formula>$H5="Fait"</formula>
    </cfRule>
    <cfRule type="expression" priority="3" aboveAverage="0" equalAverage="0" bottom="0" percent="0" rank="0" text="" dxfId="14">
      <formula>$H5="En cours"</formula>
    </cfRule>
    <cfRule type="expression" priority="4" aboveAverage="0" equalAverage="0" bottom="0" percent="0" rank="0" text="" dxfId="0">
      <formula>$H5="Bloquée"</formula>
    </cfRule>
    <cfRule type="expression" priority="5" aboveAverage="0" equalAverage="0" bottom="0" percent="0" rank="0" text="" dxfId="15">
      <formula>$H5="À faire"</formula>
    </cfRule>
  </conditionalFormatting>
  <dataValidations count="1">
    <dataValidation allowBlank="false" error="Choisissez : À faire, En cours, Fait ou Bloquée." errorStyle="stop" errorTitle="Statut" operator="between" showDropDown="false" showErrorMessage="true" showInputMessage="false" sqref="H5:H21" type="list">
      <formula1>"À faire,En cours,Fait,Bloquée"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&amp;C&amp;10 Multimédia Glory Guinée SARLU</oddHeader>
    <oddFooter>&amp;C&amp;9 Page &amp;P sur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62"/>
    <col collapsed="false" customWidth="true" hidden="false" outlineLevel="0" max="6" min="6" style="0" width="40"/>
    <col collapsed="false" customWidth="true" hidden="false" outlineLevel="0" max="7" min="7" style="0" width="56"/>
  </cols>
  <sheetData>
    <row r="1" customFormat="false" ht="25.5" hidden="false" customHeight="true" outlineLevel="0" collapsed="false">
      <c r="A1" s="2" t="s">
        <v>133</v>
      </c>
    </row>
    <row r="2" customFormat="false" ht="15" hidden="false" customHeight="false" outlineLevel="0" collapsed="false">
      <c r="A2" s="21" t="s">
        <v>134</v>
      </c>
    </row>
    <row r="3" customFormat="false" ht="15" hidden="false" customHeight="false" outlineLevel="0" collapsed="false">
      <c r="A3" s="20" t="s">
        <v>135</v>
      </c>
    </row>
    <row r="5" customFormat="false" ht="30" hidden="false" customHeight="true" outlineLevel="0" collapsed="false">
      <c r="A5" s="6" t="s">
        <v>136</v>
      </c>
      <c r="B5" s="6" t="s">
        <v>137</v>
      </c>
      <c r="C5" s="6" t="s">
        <v>138</v>
      </c>
      <c r="D5" s="6" t="s">
        <v>139</v>
      </c>
      <c r="E5" s="6" t="s">
        <v>140</v>
      </c>
      <c r="F5" s="6" t="s">
        <v>141</v>
      </c>
      <c r="G5" s="6" t="s">
        <v>142</v>
      </c>
    </row>
    <row r="6" customFormat="false" ht="23.85" hidden="false" customHeight="false" outlineLevel="0" collapsed="false">
      <c r="A6" s="36" t="s">
        <v>69</v>
      </c>
      <c r="B6" s="37" t="s">
        <v>68</v>
      </c>
      <c r="C6" s="34" t="str">
        <f aca="false">IF(B6="","Rôle du poste",IFERROR(INDEX(Missions!$B$5:$B$21,MATCH(B6,Missions!$A$5:$A$21,0)),"ID inconnu"))</f>
        <v>Gestion administrative</v>
      </c>
      <c r="D6" s="34" t="s">
        <v>143</v>
      </c>
      <c r="E6" s="34" t="s">
        <v>144</v>
      </c>
      <c r="F6" s="34" t="s">
        <v>145</v>
      </c>
      <c r="G6" s="34"/>
    </row>
    <row r="7" customFormat="false" ht="46.25" hidden="false" customHeight="false" outlineLevel="0" collapsed="false">
      <c r="A7" s="36" t="s">
        <v>78</v>
      </c>
      <c r="B7" s="37" t="s">
        <v>77</v>
      </c>
      <c r="C7" s="34" t="str">
        <f aca="false">IF(B7="","Rôle du poste",IFERROR(INDEX(Missions!$B$5:$B$21,MATCH(B7,Missions!$A$5:$A$21,0)),"ID inconnu"))</f>
        <v>Conventions, avenants et contrats</v>
      </c>
      <c r="D7" s="34" t="s">
        <v>146</v>
      </c>
      <c r="E7" s="34" t="s">
        <v>147</v>
      </c>
      <c r="F7" s="34" t="s">
        <v>148</v>
      </c>
      <c r="G7" s="34" t="s">
        <v>149</v>
      </c>
    </row>
    <row r="8" customFormat="false" ht="35.05" hidden="false" customHeight="false" outlineLevel="0" collapsed="false">
      <c r="A8" s="38" t="s">
        <v>81</v>
      </c>
      <c r="B8" s="37" t="s">
        <v>80</v>
      </c>
      <c r="C8" s="34" t="str">
        <f aca="false">IF(B8="","Rôle du poste",IFERROR(INDEX(Missions!$B$5:$B$21,MATCH(B8,Missions!$A$5:$A$21,0)),"ID inconnu"))</f>
        <v>Conventions, avenants et contrats</v>
      </c>
      <c r="D8" s="34" t="s">
        <v>150</v>
      </c>
      <c r="E8" s="34" t="s">
        <v>151</v>
      </c>
      <c r="F8" s="34" t="s">
        <v>152</v>
      </c>
      <c r="G8" s="34"/>
    </row>
    <row r="9" customFormat="false" ht="35.05" hidden="false" customHeight="false" outlineLevel="0" collapsed="false">
      <c r="A9" s="36" t="s">
        <v>90</v>
      </c>
      <c r="B9" s="37" t="s">
        <v>89</v>
      </c>
      <c r="C9" s="34" t="str">
        <f aca="false">IF(B9="","Rôle du poste",IFERROR(INDEX(Missions!$B$5:$B$21,MATCH(B9,Missions!$A$5:$A$21,0)),"ID inconnu"))</f>
        <v>Relations avec les partenaires</v>
      </c>
      <c r="D9" s="34" t="s">
        <v>153</v>
      </c>
      <c r="E9" s="34" t="s">
        <v>154</v>
      </c>
      <c r="F9" s="34" t="s">
        <v>155</v>
      </c>
      <c r="G9" s="34"/>
    </row>
    <row r="10" customFormat="false" ht="35.05" hidden="false" customHeight="false" outlineLevel="0" collapsed="false">
      <c r="A10" s="38" t="s">
        <v>156</v>
      </c>
      <c r="B10" s="37" t="s">
        <v>92</v>
      </c>
      <c r="C10" s="34" t="str">
        <f aca="false">IF(B10="","Rôle du poste",IFERROR(INDEX(Missions!$B$5:$B$21,MATCH(B10,Missions!$A$5:$A$21,0)),"ID inconnu"))</f>
        <v>Relations avec les partenaires</v>
      </c>
      <c r="D10" s="34" t="s">
        <v>157</v>
      </c>
      <c r="E10" s="34" t="s">
        <v>158</v>
      </c>
      <c r="F10" s="34" t="s">
        <v>159</v>
      </c>
      <c r="G10" s="34" t="s">
        <v>160</v>
      </c>
    </row>
    <row r="11" customFormat="false" ht="23.85" hidden="false" customHeight="false" outlineLevel="0" collapsed="false">
      <c r="A11" s="36" t="s">
        <v>86</v>
      </c>
      <c r="B11" s="37" t="s">
        <v>85</v>
      </c>
      <c r="C11" s="34" t="str">
        <f aca="false">IF(B11="","Rôle du poste",IFERROR(INDEX(Missions!$B$5:$B$21,MATCH(B11,Missions!$A$5:$A$21,0)),"ID inconnu"))</f>
        <v>Conventions, avenants et contrats</v>
      </c>
      <c r="D11" s="34" t="s">
        <v>161</v>
      </c>
      <c r="E11" s="34" t="s">
        <v>162</v>
      </c>
      <c r="F11" s="34" t="s">
        <v>163</v>
      </c>
      <c r="G11" s="34" t="s">
        <v>164</v>
      </c>
    </row>
    <row r="12" customFormat="false" ht="35.05" hidden="false" customHeight="false" outlineLevel="0" collapsed="false">
      <c r="A12" s="38" t="s">
        <v>98</v>
      </c>
      <c r="B12" s="37" t="s">
        <v>97</v>
      </c>
      <c r="C12" s="34" t="str">
        <f aca="false">IF(B12="","Rôle du poste",IFERROR(INDEX(Missions!$B$5:$B$21,MATCH(B12,Missions!$A$5:$A$21,0)),"ID inconnu"))</f>
        <v>Relations avec les partenaires</v>
      </c>
      <c r="D12" s="34" t="s">
        <v>165</v>
      </c>
      <c r="E12" s="34" t="s">
        <v>166</v>
      </c>
      <c r="F12" s="34" t="s">
        <v>167</v>
      </c>
      <c r="G12" s="34"/>
    </row>
    <row r="13" customFormat="false" ht="23.85" hidden="false" customHeight="false" outlineLevel="0" collapsed="false">
      <c r="A13" s="38" t="s">
        <v>102</v>
      </c>
      <c r="B13" s="37" t="s">
        <v>101</v>
      </c>
      <c r="C13" s="34" t="str">
        <f aca="false">IF(B13="","Rôle du poste",IFERROR(INDEX(Missions!$B$5:$B$21,MATCH(B13,Missions!$A$5:$A$21,0)),"ID inconnu"))</f>
        <v>Contrôle et suivi financier</v>
      </c>
      <c r="D13" s="34" t="s">
        <v>168</v>
      </c>
      <c r="E13" s="34" t="s">
        <v>169</v>
      </c>
      <c r="F13" s="34" t="s">
        <v>170</v>
      </c>
      <c r="G13" s="34"/>
    </row>
    <row r="14" customFormat="false" ht="79.85" hidden="false" customHeight="false" outlineLevel="0" collapsed="false">
      <c r="A14" s="36" t="s">
        <v>171</v>
      </c>
      <c r="B14" s="37" t="s">
        <v>105</v>
      </c>
      <c r="C14" s="34" t="str">
        <f aca="false">IF(B14="","Rôle du poste",IFERROR(INDEX(Missions!$B$5:$B$21,MATCH(B14,Missions!$A$5:$A$21,0)),"ID inconnu"))</f>
        <v>Contrôle et suivi financier</v>
      </c>
      <c r="D14" s="34" t="s">
        <v>172</v>
      </c>
      <c r="E14" s="34" t="s">
        <v>173</v>
      </c>
      <c r="F14" s="34" t="s">
        <v>174</v>
      </c>
      <c r="G14" s="34"/>
    </row>
    <row r="15" customFormat="false" ht="35.05" hidden="false" customHeight="false" outlineLevel="0" collapsed="false">
      <c r="A15" s="36" t="s">
        <v>110</v>
      </c>
      <c r="B15" s="37" t="s">
        <v>109</v>
      </c>
      <c r="C15" s="34" t="str">
        <f aca="false">IF(B15="","Rôle du poste",IFERROR(INDEX(Missions!$B$5:$B$21,MATCH(B15,Missions!$A$5:$A$21,0)),"ID inconnu"))</f>
        <v>Contrôle et suivi financier</v>
      </c>
      <c r="D15" s="34" t="s">
        <v>175</v>
      </c>
      <c r="E15" s="34" t="s">
        <v>176</v>
      </c>
      <c r="F15" s="34" t="s">
        <v>177</v>
      </c>
      <c r="G15" s="34"/>
    </row>
    <row r="16" customFormat="false" ht="35.05" hidden="false" customHeight="false" outlineLevel="0" collapsed="false">
      <c r="A16" s="38" t="s">
        <v>178</v>
      </c>
      <c r="B16" s="37" t="s">
        <v>112</v>
      </c>
      <c r="C16" s="34" t="str">
        <f aca="false">IF(B16="","Rôle du poste",IFERROR(INDEX(Missions!$B$5:$B$21,MATCH(B16,Missions!$A$5:$A$21,0)),"ID inconnu"))</f>
        <v>Contrôle et suivi financier</v>
      </c>
      <c r="D16" s="34" t="s">
        <v>179</v>
      </c>
      <c r="E16" s="34" t="s">
        <v>180</v>
      </c>
      <c r="F16" s="34" t="s">
        <v>181</v>
      </c>
      <c r="G16" s="34" t="s">
        <v>182</v>
      </c>
    </row>
    <row r="17" customFormat="false" ht="23.85" hidden="false" customHeight="false" outlineLevel="0" collapsed="false">
      <c r="A17" s="36" t="s">
        <v>117</v>
      </c>
      <c r="B17" s="37" t="s">
        <v>116</v>
      </c>
      <c r="C17" s="34" t="str">
        <f aca="false">IF(B17="","Rôle du poste",IFERROR(INDEX(Missions!$B$5:$B$21,MATCH(B17,Missions!$A$5:$A$21,0)),"ID inconnu"))</f>
        <v>Contrôle et suivi financier</v>
      </c>
      <c r="D17" s="34" t="s">
        <v>183</v>
      </c>
      <c r="E17" s="34" t="s">
        <v>184</v>
      </c>
      <c r="F17" s="34" t="s">
        <v>185</v>
      </c>
      <c r="G17" s="34" t="s">
        <v>186</v>
      </c>
    </row>
    <row r="18" customFormat="false" ht="35.05" hidden="false" customHeight="false" outlineLevel="0" collapsed="false">
      <c r="A18" s="38" t="s">
        <v>120</v>
      </c>
      <c r="B18" s="37" t="s">
        <v>119</v>
      </c>
      <c r="C18" s="34" t="str">
        <f aca="false">IF(B18="","Rôle du poste",IFERROR(INDEX(Missions!$B$5:$B$21,MATCH(B18,Missions!$A$5:$A$21,0)),"ID inconnu"))</f>
        <v>Pilotage de l’équipe</v>
      </c>
      <c r="D18" s="34" t="s">
        <v>187</v>
      </c>
      <c r="E18" s="34" t="s">
        <v>188</v>
      </c>
      <c r="F18" s="34" t="s">
        <v>189</v>
      </c>
      <c r="G18" s="34"/>
    </row>
    <row r="19" customFormat="false" ht="46.25" hidden="false" customHeight="false" outlineLevel="0" collapsed="false">
      <c r="A19" s="38" t="s">
        <v>123</v>
      </c>
      <c r="B19" s="37" t="s">
        <v>122</v>
      </c>
      <c r="C19" s="34" t="str">
        <f aca="false">IF(B19="","Rôle du poste",IFERROR(INDEX(Missions!$B$5:$B$21,MATCH(B19,Missions!$A$5:$A$21,0)),"ID inconnu"))</f>
        <v>Pilotage de l’équipe</v>
      </c>
      <c r="D19" s="34" t="s">
        <v>190</v>
      </c>
      <c r="E19" s="34" t="s">
        <v>191</v>
      </c>
      <c r="F19" s="34" t="s">
        <v>192</v>
      </c>
      <c r="G19" s="34"/>
    </row>
    <row r="20" customFormat="false" ht="35.05" hidden="false" customHeight="false" outlineLevel="0" collapsed="false">
      <c r="A20" s="38" t="s">
        <v>126</v>
      </c>
      <c r="B20" s="37" t="s">
        <v>125</v>
      </c>
      <c r="C20" s="34" t="str">
        <f aca="false">IF(B20="","Rôle du poste",IFERROR(INDEX(Missions!$B$5:$B$21,MATCH(B20,Missions!$A$5:$A$21,0)),"ID inconnu"))</f>
        <v>Pilotage de l’équipe</v>
      </c>
      <c r="D20" s="34" t="s">
        <v>193</v>
      </c>
      <c r="E20" s="34" t="s">
        <v>194</v>
      </c>
      <c r="F20" s="34" t="s">
        <v>195</v>
      </c>
      <c r="G20" s="34"/>
    </row>
    <row r="21" customFormat="false" ht="23.85" hidden="false" customHeight="false" outlineLevel="0" collapsed="false">
      <c r="A21" s="36" t="s">
        <v>196</v>
      </c>
      <c r="B21" s="37"/>
      <c r="C21" s="34" t="str">
        <f aca="false">IF(B21="","Rôle du poste",IFERROR(INDEX(Missions!$B$5:$B$21,MATCH(B21,Missions!$A$5:$A$21,0)),"ID inconnu"))</f>
        <v>Rôle du poste</v>
      </c>
      <c r="D21" s="34" t="s">
        <v>197</v>
      </c>
      <c r="E21" s="34" t="s">
        <v>198</v>
      </c>
      <c r="F21" s="34" t="s">
        <v>199</v>
      </c>
      <c r="G21" s="34"/>
    </row>
    <row r="22" customFormat="false" ht="57.45" hidden="false" customHeight="false" outlineLevel="0" collapsed="false">
      <c r="A22" s="36" t="s">
        <v>200</v>
      </c>
      <c r="B22" s="37" t="s">
        <v>72</v>
      </c>
      <c r="C22" s="34" t="str">
        <f aca="false">IF(B22="","Rôle du poste",IFERROR(INDEX(Missions!$B$5:$B$21,MATCH(B22,Missions!$A$5:$A$21,0)),"ID inconnu"))</f>
        <v>Gestion administrative</v>
      </c>
      <c r="D22" s="34" t="s">
        <v>201</v>
      </c>
      <c r="E22" s="34" t="s">
        <v>202</v>
      </c>
      <c r="F22" s="34" t="s">
        <v>203</v>
      </c>
      <c r="G22" s="34"/>
    </row>
    <row r="23" customFormat="false" ht="46.25" hidden="false" customHeight="false" outlineLevel="0" collapsed="false">
      <c r="A23" s="36" t="s">
        <v>204</v>
      </c>
      <c r="B23" s="37" t="s">
        <v>128</v>
      </c>
      <c r="C23" s="34" t="str">
        <f aca="false">IF(B23="","Rôle du poste",IFERROR(INDEX(Missions!$B$5:$B$21,MATCH(B23,Missions!$A$5:$A$21,0)),"ID inconnu"))</f>
        <v>Demandes de la Direction</v>
      </c>
      <c r="D23" s="34" t="s">
        <v>205</v>
      </c>
      <c r="E23" s="34" t="s">
        <v>206</v>
      </c>
      <c r="F23" s="34" t="s">
        <v>207</v>
      </c>
      <c r="G23" s="34" t="s">
        <v>208</v>
      </c>
    </row>
    <row r="25" customFormat="false" ht="15" hidden="false" customHeight="false" outlineLevel="0" collapsed="false">
      <c r="A25" s="4" t="s">
        <v>209</v>
      </c>
      <c r="B25" s="5"/>
      <c r="C25" s="5"/>
      <c r="D25" s="5"/>
      <c r="E25" s="5"/>
      <c r="F25" s="5"/>
      <c r="G25" s="5"/>
    </row>
    <row r="26" customFormat="false" ht="15" hidden="false" customHeight="false" outlineLevel="0" collapsed="false">
      <c r="A26" s="22" t="s">
        <v>210</v>
      </c>
      <c r="B26" s="39" t="s">
        <v>211</v>
      </c>
    </row>
    <row r="27" customFormat="false" ht="15" hidden="false" customHeight="false" outlineLevel="0" collapsed="false">
      <c r="A27" s="22" t="s">
        <v>212</v>
      </c>
      <c r="B27" s="39" t="s">
        <v>213</v>
      </c>
    </row>
    <row r="28" customFormat="false" ht="15" hidden="false" customHeight="false" outlineLevel="0" collapsed="false">
      <c r="A28" s="22" t="s">
        <v>214</v>
      </c>
      <c r="B28" s="39" t="s">
        <v>215</v>
      </c>
    </row>
    <row r="29" customFormat="false" ht="15" hidden="false" customHeight="false" outlineLevel="0" collapsed="false">
      <c r="A29" s="22" t="s">
        <v>216</v>
      </c>
      <c r="B29" s="39" t="s">
        <v>217</v>
      </c>
    </row>
    <row r="30" customFormat="false" ht="15" hidden="false" customHeight="false" outlineLevel="0" collapsed="false">
      <c r="A30" s="22" t="s">
        <v>218</v>
      </c>
      <c r="B30" s="39" t="s">
        <v>219</v>
      </c>
    </row>
    <row r="31" customFormat="false" ht="15" hidden="false" customHeight="false" outlineLevel="0" collapsed="false">
      <c r="A31" s="22" t="s">
        <v>220</v>
      </c>
      <c r="B31" s="39" t="s">
        <v>221</v>
      </c>
    </row>
    <row r="32" customFormat="false" ht="15" hidden="false" customHeight="false" outlineLevel="0" collapsed="false">
      <c r="A32" s="22" t="s">
        <v>222</v>
      </c>
      <c r="B32" s="39" t="s">
        <v>223</v>
      </c>
    </row>
    <row r="34" customFormat="false" ht="15" hidden="false" customHeight="false" outlineLevel="0" collapsed="false">
      <c r="A34" s="4" t="s">
        <v>224</v>
      </c>
      <c r="B34" s="5"/>
      <c r="C34" s="5"/>
      <c r="D34" s="5"/>
      <c r="E34" s="5"/>
      <c r="F34" s="5"/>
      <c r="G34" s="5"/>
    </row>
    <row r="35" customFormat="false" ht="15" hidden="false" customHeight="false" outlineLevel="0" collapsed="false">
      <c r="A35" s="40" t="s">
        <v>225</v>
      </c>
    </row>
    <row r="36" customFormat="false" ht="15" hidden="false" customHeight="false" outlineLevel="0" collapsed="false">
      <c r="A36" s="40" t="s">
        <v>226</v>
      </c>
    </row>
    <row r="37" customFormat="false" ht="15" hidden="false" customHeight="false" outlineLevel="0" collapsed="false">
      <c r="A37" s="40" t="s">
        <v>227</v>
      </c>
    </row>
  </sheetData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&amp;C&amp;10 Multimédia Glory Guinée SARLU</oddHeader>
    <oddFooter>&amp;C&amp;9 Page &amp;P sur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2026-10-31T07:04:27Z</dcterms:created>
  <dc:creator>openpyxl</dc:creator>
  <dc:description/>
  <dc:language>en-US</dc:language>
  <cp:lastModifiedBy/>
  <dcterms:modified xsi:type="dcterms:W3CDTF">2026-10-31T07:04:29Z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